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workbookPr defaultThemeVersion="166925"/>
  <mc:AlternateContent xmlns:mc="http://schemas.openxmlformats.org/markup-compatibility/2006">
    <mc:Choice Requires="x15">
      <x15ac:absPath xmlns:x15ac="http://schemas.microsoft.com/office/spreadsheetml/2010/11/ac" url="/Users/mdolle502/Documents/High_Split/"/>
    </mc:Choice>
  </mc:AlternateContent>
  <xr:revisionPtr revIDLastSave="0" documentId="8_{C4C1670D-36D8-7645-B375-1E8C4CCE94D2}" xr6:coauthVersionLast="47" xr6:coauthVersionMax="47" xr10:uidLastSave="{00000000-0000-0000-0000-000000000000}"/>
  <bookViews>
    <workbookView xWindow="0" yWindow="500" windowWidth="33600" windowHeight="19420" tabRatio="500" xr2:uid="{00000000-000D-0000-FFFF-FFFF00000000}"/>
  </bookViews>
  <sheets>
    <sheet name="Service Telemetry" sheetId="1" r:id="rId1"/>
    <sheet name="Mulpi" sheetId="2" r:id="rId2"/>
    <sheet name="DP" sheetId="3" r:id="rId3"/>
    <sheet name="Sched" sheetId="4" r:id="rId4"/>
    <sheet name="Cloud-Native" sheetId="5" r:id="rId5"/>
    <sheet name="RPD Sensors" sheetId="6" r:id="rId6"/>
    <sheet name="ha-agent" sheetId="7" r:id="rId7"/>
  </sheets>
  <definedNames>
    <definedName name="if_per_cd">'Service Telemetry'!#REF!</definedName>
    <definedName name="Num_CDs">'Service Telemetry'!#REF!</definedName>
    <definedName name="Num_CMs">'Service Telemetry'!#REF!</definedName>
    <definedName name="num_summary">'Service Telemetry'!#REF!</definedName>
    <definedName name="status_per_cm">'Service Telemetry'!#REF!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E366" i="3" l="1"/>
  <c r="E365" i="3"/>
  <c r="E364" i="3"/>
  <c r="C7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7" authorId="0" shapeId="0" xr:uid="{00000000-0006-0000-0000-000001000000}">
      <text>
        <r>
          <rPr>
            <b/>
            <sz val="9"/>
            <color rgb="FF000000"/>
            <rFont val="Tahoma"/>
            <family val="2"/>
            <charset val="1"/>
          </rPr>
          <t xml:space="preserve">Michael Patrick:
</t>
        </r>
      </text>
    </comment>
  </commentList>
</comments>
</file>

<file path=xl/sharedStrings.xml><?xml version="1.0" encoding="utf-8"?>
<sst xmlns="http://schemas.openxmlformats.org/spreadsheetml/2006/main" count="4147" uniqueCount="2247">
  <si>
    <t xml:space="preserve">Service Telemetry </t>
  </si>
  <si>
    <r>
      <t xml:space="preserve">Changes from previous version in </t>
    </r>
    <r>
      <rPr>
        <sz val="11"/>
        <color rgb="FFFF0000"/>
        <rFont val="Calibri"/>
        <family val="2"/>
      </rPr>
      <t>RED</t>
    </r>
    <r>
      <rPr>
        <sz val="11"/>
        <rFont val="Calibri"/>
        <family val="2"/>
        <charset val="1"/>
      </rPr>
      <t>.</t>
    </r>
  </si>
  <si>
    <t>Version</t>
  </si>
  <si>
    <t>Date</t>
  </si>
  <si>
    <t>v51</t>
  </si>
  <si>
    <t>* Correction: Add missing label descriptions for ha_corosync_Config
* Correction: Add missing metric descriptions for ha_corosync_SrpPgMsgQueueAvail and ha_corosync_SrpPgMsgReserved</t>
  </si>
  <si>
    <t>v50</t>
  </si>
  <si>
    <t>* CBLOS-48522 Correct value of "partialChannelState=" label of K_CmRegStatusRegStatus and value reported by push-only metric K_CmRegStatus_PartialChannelState. 
* CBLOS-54392 Add "sensorName=" label to vRpd_Sensors_Value.
* CBLOS-43449 Add "nsiMacAddr=" label to K_L2VPN_DsPkts metric. Add the missing desription for K_L2VPN_* metrics. 
* CBLOS-53981 Add K_Video_Config metrics</t>
  </si>
  <si>
    <t>v49</t>
  </si>
  <si>
    <t xml:space="preserve">* CBLOS-59709: Remove all snmp_UsOfdma_Profile_* metrics as redundant except "snmp_UsOfdma_Profile_BitLoading", which is reported for active dataIuc only.
* CBLOS-57317 Add vRpd_L2tpSessionInfo* metrics
* Correction: add labels and their descriptions for K_Cops_State
* Correction: Remove "regStatus" label from mulpi_CmFlap metri cs and add "isPushed" label.
* Correction: Update mulpi_CmFlap_RangeFlaps to clarify increased only on last upstream channel flapping.  </t>
  </si>
  <si>
    <t>v48</t>
  </si>
  <si>
    <t xml:space="preserve">CBLOS-51789 Add documentation for the snmp_if group of metrics. </t>
  </si>
  <si>
    <t>v47</t>
  </si>
  <si>
    <t>Add ha-agent metrics</t>
  </si>
  <si>
    <t>v46</t>
  </si>
  <si>
    <t>For CA/CM certificates (CBLOS-37870):
* Added "K_Bpi2Cmts_CmCert" metric
* Added "K_Bpi2Cmts_CaCert" metric</t>
  </si>
  <si>
    <t>v45</t>
  </si>
  <si>
    <t>For Reef monitoring (CBLOS-39721):
* Add Reef Capabilities to K_vRpdData_Identifictation
* Add K_Reef metrics</t>
  </si>
  <si>
    <t>v44</t>
  </si>
  <si>
    <t>For VCMTS 2.15 release.
* Add  K_IfCounters_* metrics for per-channel delta FEC counts.
* Add K_Virtual_* to report mapping of virtual MD to physical RPD ports. 
* Document that "RPD Sensors" page is for the "vRpd_Sensors_Value" metric.
* Add "reportedWidthMhz=" label to K_CmUsPerf upstream power metrics
* Add "mulpi_HmProbe_*" metrics</t>
  </si>
  <si>
    <t>v43</t>
  </si>
  <si>
    <t>Correct name of "sched_Info_UM_RqstContention"
Add  "node_time" metrics for NTP on "Cloud-Native" page.</t>
  </si>
  <si>
    <t>v42</t>
  </si>
  <si>
    <t xml:space="preserve">
Add vRpd metrics (CBLOS-45135). This Jira was delivered to trunk on  14-May-2020.. 
Add "Apollo" sheet of Apollo-only metrics. Add "RPD Sensors" sheet of Harmonic RPD sensor entityIndex. 
Correct "requestPolicyOpt" label of K_DocsQos_Params.</t>
  </si>
  <si>
    <t>v41</t>
  </si>
  <si>
    <t xml:space="preserve">As-shipped VCMTS Release 2.12.0.0-2+auto26
Added notes on  scrape URLs. 
Added snmp_DsOfdm  metrics (CBLOS-44273).  </t>
  </si>
  <si>
    <t>v40</t>
  </si>
  <si>
    <t>Add mulpi_DLB metrics (CBLOS-18755)</t>
  </si>
  <si>
    <t>v39</t>
  </si>
  <si>
    <t xml:space="preserve"> Change name to 'snmp_UsOfdma_Profile_*". Change label from "mainIuc" to "selectedIuc". Change "snmp_UsOfdma_Profile_MainDataIuc " to "snmp_UsOfdma_Profile_SelectedIuc".</t>
  </si>
  <si>
    <t>Notes</t>
  </si>
  <si>
    <t xml:space="preserve">* Only the "active" MULPI instance for a mac-domain reports any metric with its "mdName" label.  </t>
  </si>
  <si>
    <t>* "v-cmts" means the M and CD pod; it does not mean the whole cluster</t>
  </si>
  <si>
    <t>* mdName="MdX:Y/Z.0"  where X:Y is unique per vcmts-m.</t>
  </si>
  <si>
    <t>* Note that "old" MD-related metrics will remain in Prometheus databases for 5 minutes until removed by Prometheus (see CBLOS-16267)</t>
  </si>
  <si>
    <t>*  All thrift messages use a "Metric" structure defined as below.  The "PushMetrics" call is as shown below.   
/* Prometheus telemetry metric */
struct Metric
{
    1: required string name;
    2: required string help;
    3: required string type;  /* "counter" or "gauge" */
    4: required double value;
    5: required map&lt;string string&gt; labels;
    6: binary block;
}
service  Telemetry
{
    /* Send Telemetry Metrics to Monitor Probe */
    oneway void PushMetrics(1: list&lt;Metric&gt; metrics 2: string podName 3: string podIp );
}</t>
  </si>
  <si>
    <t>* Parallel scraping of VCMTS-CD pods at large scale s supported by repliacing /metrics with three scrapes to /metrics/usperf /metrics/samis1 and /metrics/other.</t>
  </si>
  <si>
    <t xml:space="preserve">* Only metrics denoted with "(Avro)" are included in pulls to the URL /metrics/avro. </t>
  </si>
  <si>
    <t>Kafka Topic</t>
  </si>
  <si>
    <t>Poll
Interval (s)</t>
  </si>
  <si>
    <t>Metric Name</t>
  </si>
  <si>
    <t>Type</t>
  </si>
  <si>
    <t>Labels</t>
  </si>
  <si>
    <t>Description</t>
  </si>
  <si>
    <t>K_Bpi2Cmts</t>
  </si>
  <si>
    <t>K_Bpi2Cmts_CaCert</t>
  </si>
  <si>
    <t>Gauge</t>
  </si>
  <si>
    <t>issuer=
serial=
publicKey=
expires=
source=
selfSigned=
isValid=
status=
statusSource=
subject=
thumbprint=</t>
  </si>
  <si>
    <t>issuer - docsBpi2CmtsCACertIssuer string
serial - docsBpi2CmtsCACertSerialNumber string
publicKey - certificate's public key as upper-case hexstring
expires - As shown in "Expiration time:" in the certificate. 
source - name of docsBpi2CmtsCACertSource enum name: { "snmp", "configurationFile", "externalDatabase","other", "authentInfo", "compiledIntoCode"}
selfSigned - "yes" if issuer==subject, "no" otherwise
isValid - { "yes", "no" } 
status - name of docsBpi2CmtsCACertTrust enum name: { "trusted", "untrusted", "chained", "root" }
statusSource - enum name { "provisioned", "revoked", "verified" }  
subject - docsBpiCmtsCaCertSubject string from certificate
thumbprint - docsBpi2CmtsCACertThumbprint (SHA-1 of cert) string as upper-case hex without spaces</t>
  </si>
  <si>
    <t>K_Bpi2Cmts_CmCert</t>
  </si>
  <si>
    <t>K_CmCpeList</t>
  </si>
  <si>
    <t xml:space="preserve">These metrics are intended for display in a Grafana Table panel. </t>
  </si>
  <si>
    <t>Gauge=0</t>
  </si>
  <si>
    <t>Each series depicts an IP subnet for forwarding through a CM. 
cpeType "CPE" is a normally learned DHCP host or eXXX for an embedded eSAFE CPE. cpeType "static" is a statically assigned CPE.  cpeType "v6Prefix" identifies CPE subnets forwarded through a CPE router. cpeType 
Value is always 0.</t>
  </si>
  <si>
    <t xml:space="preserve">"mdName" identifies the mac domain in which the CM is registered. "cmMacAddr" is CM with CPEs attached. "cpeMacAddr" is the CPE mac address. "cpeIpv4Addr" is dotted-decimal IPv4. "CpeIpv6Addr is  zero-expanded IPv6. "cpeIpv4Prefix/Ipv6Prefix" is the number of matching leftmost bits of cpe{Ipv4/Ipv6}Addr forwarded through the CM.  
The unused cpeIpv*Addr/cpeIpv*Prefix labels are "". 
 "cpeLearned" is "true" when CPE IP is learned from snooping   DHCP or RIP or "false" when statically assigned. via CLI or CM configuration file. 
 "cpeType" is { CPE ePS eDVA eMTA eSG eSTB eTEA eRoute rstatic v6Prefix}.
"vlan" is the NSI vlan for a "static" CPE or "" otherwise. 
Note that the Harmonic VCMTS supports static CPEs only through  CLI configuration;  it does not yet support CM configuration file   TLVs for assigning static CPEs (CBLOS-21668). </t>
  </si>
  <si>
    <t>K_CmRegStatus 
(Avro)</t>
  </si>
  <si>
    <t xml:space="preserve">Pushed via Thrift "PushMetrics(vector&lt;Metric&gt;)" call to Monitor Probe which translates to K_CmRegStatus Kafka record.  Note that all  objects based on DOCS-IF31-MIB will not be reported for pre-3.1  CMs.  Also scraped/pushed normally by TelemD. 
With CBLOS-18419 K_CmRegStatus_RegStatus adds the same  labels  as "label-only" metrics  eg.it adds "ipv6Addr=" the same as  K_CmRegStatus_Ipv6Addr.  The "label-only" metrics are planned to be removed after MonitoringProbe adjusts to use the labels of K_CmRegStatus_RegStatus instead of the label-only metrics.   Additional labels added with CBLOS-19949. </t>
  </si>
  <si>
    <t>K_CmRegStatus_RegStatus</t>
  </si>
  <si>
    <t>docsIf3CmtsCmRegStatusValue 
see K_CmSummary</t>
  </si>
  <si>
    <t>rpdName=
mdName=
fnName=
cmMacAddr=
regStatus=
d3NonBonded=
docsisVersion=
ipV4Addr=
ipv6Addr=
ipv6LinkLocal=
partialSvcState=
partialChannelState=
ofdmProfileIdList=
rcs=
rcsId=
tcs=
tcsId=
minUsableDsFreq=
maxUsableDsFreq=
maxUseableUsFreq=
scqamCap=
scqamActual=
ofdmCap=
ofdmActual=
numCpe=
bpiProtected=
primaryDsChan=
primaryUsChan=
dsBondingGroup=
usBondingGroup=</t>
  </si>
  <si>
    <t>K_CmRegStatus_Capabilities</t>
  </si>
  <si>
    <t>Gauge = 0</t>
  </si>
  <si>
    <t>rpdName=
mdName=
fnName=
cmMacAddr=
isFragmentationSupported=
isConcatenationSupported=
isPhsSupported=
privacySupport=
isEaeSupported=
isL2VpnSupported=
isEsafeSupported=
maxUsSids=
maxDsSaids=
is8021pFilteringSupported=
is8021qFilteringSupported=
txEqTapsPerSymbol=
txEqTaps=
maxCpeDevices=
numMcastDsids=
mcastDsidForwarding=</t>
  </si>
  <si>
    <t>SCM items "Capabilities" (TLV 5.1 5.3 5.4) "Security Capabilities" (TLV 5.6 B-INIT-RNG-REQ message - capability flags field - bit 6) "L2VPN Capabilities" (TLV 5.17 and 5.18) "Sid/Said Limit" (TLV 5.7 and 5.8) "Optional Filtering Support" (TLV 5.9) "Transmit Equalizer Support" (TLV 5.10 and 5.11) "CFG Max-CPE" (TLV 18).</t>
  </si>
  <si>
    <t xml:space="preserve">
If any particular capability is omitted by CM display its value as "-"
"isFragmentationSupported" is "yes" if fragmentation is supported "no" otherwise.
"isConcatenationSupported" is "yes" if concatenation is supported "no" otherwise.
"isPhsSupported" is "yes" if Payload Header Suppression is supported "no" otherwise.
Supported values of "privacySupport": {"disabled" "bpi" "bpi+"}
"isEaeSupported" is "yes" if Early Authentication and Encryption is supported "no" otherwise.
"isL2VpnSupported" is "yes" if Layer 2 Virtual Private Networks are supported "no" otherwise.
"isEsafeSupported" is "yes" if embedded Service/Application Functional Entities are supported "no" otherwise.
"maxUsSids" is the number of upstream SID's the CM can support.
"maxDsSaids" is the number of downstream SAID's the CM can support.
"is8021pFilteringSupported" is "yes" if 802.1p filtering is supported "no" otherwise.
"is8021qFilteringSupported" is "yes" if 802.1q filtering is supported "no" otherwise.
"txEqTapsPerSymbol" is the number of taps per symbol the transmit equalizer supports. Supported values: 1 2 4.
"txEqTaps" is the number of taps the transmit equalizer supports. 8..64.
"maxCpeDevices" is the maximum number of provisioned CPE devices. 1..255.
"numMcastDsids" is max number of multicast DSIDS (5.32)
"mcastDsidForwarding" is Multicast Dsid Forwarding (5.33) as { "none" "explicit" "promiscuous" }</t>
  </si>
  <si>
    <t>K_CmRegStatus_Ipv6Addr
(push only)</t>
  </si>
  <si>
    <t>mdName=
cmMacAddr=
ipv6Addr=
rpdName=
fnName=</t>
  </si>
  <si>
    <t>docsIf3CmtsCmRegStatusIPv6Addr</t>
  </si>
  <si>
    <t xml:space="preserve">Value is 0 </t>
  </si>
  <si>
    <t>K_CmRegStatus_Ipv6LinkLocal
(push only)</t>
  </si>
  <si>
    <t>mdName=
cmMacAddr=
ipv6LinkLocal=
rpdName=
fnName=</t>
  </si>
  <si>
    <t>docsIf3CmtsCmRegStatusIPv6LinkLocal</t>
  </si>
  <si>
    <t>(*) Value is upper 64 bits of ipv6 addr. Label is standard ipv6 string format.</t>
  </si>
  <si>
    <t>K_CmRegStatus_Ipv4Addr</t>
  </si>
  <si>
    <t>Gauge =  0</t>
  </si>
  <si>
    <t>mdName=
cmMacAddr=
ipV4Addr=
rpdName=
fnName=</t>
  </si>
  <si>
    <t>docsIf3CmtsCmRegStatusIPv4Addr</t>
  </si>
  <si>
    <t>(*) Value is IPv4 in low-order 32 bits. Label is IPv4 dotted decimal string.</t>
  </si>
  <si>
    <t>K_CmRegStatus_tcs
(push only)</t>
  </si>
  <si>
    <t>mdName=
cmMacAddr=
tcs=
rpdName=
fnName=</t>
  </si>
  <si>
    <t>List of Channel Ids in TCS referenced by  docsIf3CmtsCmRegStatusTcsId</t>
  </si>
  <si>
    <t>Dummy value. tcs label is two hexadecimal chars for each octet without leading "0x"</t>
  </si>
  <si>
    <t>K_CmRegStatus_DsProfileIdList
(push only)</t>
  </si>
  <si>
    <t>mdName=
cmMacAddr=
profileIdList=
rpdName=
fnName=</t>
  </si>
  <si>
    <t>docsIf31CmtsCmRegStatusDsProfileIdList</t>
  </si>
  <si>
    <t>Dummy value. profileIdList label is  two hexadecimal chars for each of the 6 to 72 octets without leading "0x"</t>
  </si>
  <si>
    <t>K_CmRegStatus_TcsPhigh</t>
  </si>
  <si>
    <t>mdName=
cmMacAddr=
rpdName=
fnName=</t>
  </si>
  <si>
    <t xml:space="preserve">docsIf31CmtsCmRegStatusTcsPhigh </t>
  </si>
  <si>
    <t>K_CmRegStatus_TcsDrwTop</t>
  </si>
  <si>
    <t xml:space="preserve">docsIf31CmtsCmRegStatusTcsDrwTop </t>
  </si>
  <si>
    <t>K_CmRegStatus_MinUsableDsFreq
(push only)</t>
  </si>
  <si>
    <t>docsIf31CmtsCmRegStatusMinUsableDsFreq</t>
  </si>
  <si>
    <t>K_CmRegStatus_MaxUsableDsFreq
(push only)</t>
  </si>
  <si>
    <t>docsIf31CmtsCmRegStatusMaxUsableDsFreq</t>
  </si>
  <si>
    <t>K_CmRegStatus_MaxUsableUsFreq
(push only)</t>
  </si>
  <si>
    <t>docsIf31CmtsCmRegStatusMaxUsableUsFreq</t>
  </si>
  <si>
    <t xml:space="preserve">OFDMA only (future). </t>
  </si>
  <si>
    <t>K_CmRegStatus_PartialSvcState
(push only)</t>
  </si>
  <si>
    <t>mdName=
cmMacAddr=
rpdName=
fnName=
partialSvcState=</t>
  </si>
  <si>
    <t>docsIf31CmtsCmRegStatusPartialSvcState</t>
  </si>
  <si>
    <t xml:space="preserve">  Values are:   { 
                         other(1)
                          none(2)
                          partialSvcDsOnlyImpaired(3)
                          partialSvcUsOnlyImpaired(4)
                          partialSvcDsAndUsImpaired(5)
} . "particalSvcState" label is enumeration name above.
Note: "p-online" is equivalent to a values 34or 5
With CBLOS=11360 (updated with 11555) Both D3.0 and D3.1 CMs report PartialSvcState.</t>
  </si>
  <si>
    <t>K_CmRegStatus_PartialChannelState
(push only)</t>
  </si>
  <si>
    <t>docsIf31CmtsCmRegStatusPartialChanState</t>
  </si>
  <si>
    <t>Reports  value between 0 and 7 as  the sum of  independent values fecErrorsDsProfile(1),  fecErrorsNcpProfile(2),  fecErrorsPlc(4).</t>
  </si>
  <si>
    <t>K_CmRegStatus_UsProfileIucList</t>
  </si>
  <si>
    <t>mdName=
cmMacAddr=
ifName=
dataIucIndex=12
rpdName=
fnName=</t>
  </si>
  <si>
    <t>docsIf31CmtsCmRegStatusUsProfileIucList</t>
  </si>
  <si>
    <t xml:space="preserve">Value is a data IUC ( 5 6 9-13). dataIucIndex is "1" or "2" for first or 2nd data IUC. 
ifName is ofdma channel. </t>
  </si>
  <si>
    <t>K_CmRegStatus_SavPrefix</t>
  </si>
  <si>
    <t>mdName=
rpdName=
cmMacAddr=
savIpv4Addr=
savIpv4Prefix=
savIpv6Addr=
savIpv6Prefix=</t>
  </si>
  <si>
    <t xml:space="preserve">Identifies Source Address Verify (SAV) prefixes authorized for the CM as specified in the  CM Config file 43.7 "SAV Authorization Encoding".
Value is always 0. </t>
  </si>
  <si>
    <t xml:space="preserve">Note that although SAV prefixes may be configured the Harmonc VCMTS  does not yet actually learn static CPE IP addresses from ARP/ND snooping (CBLOS-21624).  </t>
  </si>
  <si>
    <t>K_CmRegStatus_Config</t>
  </si>
  <si>
    <t>rpdName=
mdName=
fnName=
cmMacAddr=
ipV4Addr=
ipv6Addr=
qosProvisionedMode=
enable2.0Mode=
isMicValid=
cmRequiredDsAttrMask=
cmFobiddenDsAttrMask=
cmRequiredUsAttrMask=
cmFobiddenUsAttrMask=
maxCpeDevices=</t>
  </si>
  <si>
    <t xml:space="preserve">Information from CM configuration file for a registered CM.  If the CM is not registered all labels based on CM configuration file TLVs are displayed as "-".  When a CM is registered if  the particular TLV for a label is not present display the label as "-". 
    qosProvisionedMode= { "docsis10" "docsis11" } based on SCM item "Qos Provisioned Mode" MIB objects docsIf3CmtsCmRegStatusQosVersion and docsIfCmtsCmStatusDocsisRegMode. If use TLV4 "docsis10" TLV 25/26 "docsis11"
    "enable2.0Mode"= "yes" or "no" (CM TLV 39)
    "isMicValid" = "yes" or "no"
    "cmRequiredDsAttrMask" =  hex format of the unsigned 32 required attribute mask include leading "0x". (TLV 43.9.1)
    "cmForbiddenDsAttrMask" =  hex format of the unsigned 32 required attribute mask include leading "0x". (TLV 43.9.2)
    "cmRequiredUsAttrMask" =  hex format of the unsigned 32 required attribute mask include leading "0x". (TLV 43.9.3)
    "cmForbiddenDsAttrMask" =  hex format of the unsigned 32 required attribute mask include leading "0x". (TLV 43.9.4)
    "maxCpeDevices" = Max CPEs per CM per CM TLV 18.
</t>
  </si>
  <si>
    <t>K_CmRegStatus_SubMgtFilter</t>
  </si>
  <si>
    <t>rpdName=
mdName=
fnName=
cmMacAddr=
cpeFilterDs=
cpeFilterUs=
cmFilterDs=
cmFilterUs=
psFilterDs=
psFilterUs=
mtaFilterDs=
mtaFilterUs=
stbFilterDs=
stbFilterUs=</t>
  </si>
  <si>
    <t>SCM items "CM Upstream Filter Group" "CM Downstream Filter Group" "CPE Upstream Filter Group" "CPE Downstream Filter Group". TLV 37. MIB objects docsSubmgt3GrpSubFilterDs docsSubmgt3GrpSubFilterUs docsSubmgt3GrpCmFilterDs docsSubmgt3GrpCmFilterUs
docsSubmgt3GrpPsFilterDs docsSubmgt3GrpPsFilterUs
docsSubmgt3GrpMtaFilterDs docsSubmgt3GrpMtaFilterUs
docsSubmgt3GrpStbFilterDs docsSubmgt3GrpStbFilterUs</t>
  </si>
  <si>
    <t>Operational values of the Subscriber Managemtn MIB for filtering. 
    "cpeFilterDs" decimal unsigned 32-bit integer 0..1024 represents the filter group applied to traffic destined for "subscribers" (i.e. CPEs) attached to the referenced CM i.e. for  docsSubmgt3GrpSubFilterDs
    "cpeFilterUs" decimal of unsigned 32-bit integer 0..1024 represents the filter group applied to traffic originating from subscriber's CPE attached to the referenced CM i.e. for docsSubmgt3GrpSubFilterUs
    "cmFilterDs" decimal unsigned 32-bit integer 0..1024 represents the filter group applied to traffic destined for the CM itself.
    "cmFilterUs" decimal of unsigned 32-bit integer 0..1024 represents the filter group applied to traffic originating from the CM itself.
    "psFilterDs" decimal unsigned 32-bit integer 0..1024 represents the filter group applied to traffic destined to an embedded Portal Server
    "psFilterUs" decimal of unsigned 32-bit integer 0..1024 represents the filter group applied to traffic originating from an embedded Portal Server
    "mtaFilterDs" decimal unsigned 32-bit integer 0..1024 represents the filter group applied to traffic destined to an embedded media transport agent (MTA)
    "mtaFilterUs" decimal of unsigned 32-bit integer 0..1024 represents the filter group applied to traffic originating from an embedded MTA
    "stbFilterDs" decimal unsigned 32-bit integer 0..1024 represents the filter group applied to traffic destined to an embedded set top box (STB)
    "stbFilterUs" decimal of unsigned 32-bit integer 0..1024 represents the filter group applied to traffic originating from an embedded STB</t>
  </si>
  <si>
    <t>K_CmSummary
(Avro)</t>
  </si>
  <si>
    <t xml:space="preserve"> Time series derived from K_CmRegStatus events</t>
  </si>
  <si>
    <t xml:space="preserve">
K_CmSummary</t>
  </si>
  <si>
    <t>mdName=
cmRegState=
rpdName=
fnName=</t>
  </si>
  <si>
    <t>"show cable modem summary"  docsIf3CmtsCmRegStatusValue</t>
  </si>
  <si>
    <t>K_CmSummary_ServiceGroup</t>
  </si>
  <si>
    <t>mdName=
cmRegState=
usRfPort=
rpdName=
fnName=</t>
  </si>
  <si>
    <t xml:space="preserve">Sum of CM counts per CM state per upstream service group in the mac-domain. </t>
  </si>
  <si>
    <t>K_CmUsPerf
(Avro)</t>
  </si>
  <si>
    <t xml:space="preserve">Per-CM per US-SCQAM
These high-volume metrics can be polled separately  with the URL /metrics/usperf; they are omitted  from the frequent poll "/metrics/other".    They can be included  with the parameter "?usperf=t "or excluded with the parameter "?usperf=f".
Harmonic reports K_CmUsPerf for operation on an OFDMA channel with the following conventions:
* An OFDMA channel is identified with an ifName starting with "Oa" and an IfType of 278
*  At any given time the Harmonic CMTS schedules on a single "selected" IUC so FEC counters apply to only operation on that IUC.  The K_CmUsPerf metrics for only OFDMA channels add the label "selectedIuc" to provide the current selected IUC.  
* Because K_CmUsPerf FEC counters and snmp_UsOfdmaProfile FEC counters are collected at different times the counters for the selected IUC may not exactly match. 
*  All  'Power metrics for OFDMA channels are in units of dBmV per 1.6 mHz i.e. power density whereas power metrics for SCQAM channels are in units of total dBmV for the width of the channel. </t>
  </si>
  <si>
    <t>K_CmUsPerf_IfType</t>
  </si>
  <si>
    <t>mdName=
cmMacAddr=
ifName=
rpdName=
fnName=
selectedIuc= (OFDMA only)</t>
  </si>
  <si>
    <t>Note: this is ifType NOT docsIf3CmtsCmUsStatusModulationType</t>
  </si>
  <si>
    <t xml:space="preserve">docsCableUpstreamChannel(205) or docsOfdmaUpstream(278) </t>
  </si>
  <si>
    <t>K_CmUsPerf_RxPower</t>
  </si>
  <si>
    <t>mdName=
cmMacAddr=
ifName=
rpdName=
fnName=
reportedWidthMhz=
selectedIuc= (OFDMA only)</t>
  </si>
  <si>
    <t>SCQAM: MIB vaue docsIf3CmtsCmUsStatusRxPower  channel power in dBmV
OFDMA: MIB value  docsIf31CmtsCmUsOfdmaChannelRxPower power density in dBmV per 1.6 mHz.</t>
  </si>
  <si>
    <t xml:space="preserve">Received power level at the CMTS for the full channel width for Range Responses from the CM on the "ifName" channel. </t>
  </si>
  <si>
    <t>K_CmUsPerf_TargetRxPower</t>
  </si>
  <si>
    <t>SCQAM: Configured power level of channel in "cable us-rf-port * us-phy-channel * power-level-db"
OFDMA: Configured target power density in "cable us-rf-port * ofdma-channel * target-power-density" in units of dBmV per 1.6 mHz.</t>
  </si>
  <si>
    <t>K_CmUsPerf_DeltaRxPower</t>
  </si>
  <si>
    <t>Delta from configured to actual receive upstream power.
SCQAM:  channel power in units of dBmV
OFDMA: power density in units of dBmV per 1.6 mHz.</t>
  </si>
  <si>
    <t xml:space="preserve">Computed as (K_CmUsPerf_RxPower - K_CmUsPerf_TargetRxPower). To be saved by MonitorProbe as the “RxPower” field of the “ScQAMLogicalCh” or “UsOfdmaCh” structure of the Kafka record named “CmUsPerformance”. </t>
  </si>
  <si>
    <t>K_CmUsPerf_UsPower</t>
  </si>
  <si>
    <t>CM's transmit power as indicated by DSAP/SSAP in ranging request. 
SCQAM channels:  dBmV for entire channel width.
OFDMA channels: dBmV per 1.6 Mhz power density.</t>
  </si>
  <si>
    <t>CM upstream Transmit power (SCQAM) or power density (OFDMA)</t>
  </si>
  <si>
    <t>K_CmUsPerf_SignalNoise;</t>
  </si>
  <si>
    <t>docsIf3CmtsCmUsStatusSignalNoise</t>
  </si>
  <si>
    <t>SNR of the most recent upstream ranging burst from the CM.</t>
  </si>
  <si>
    <t>K_CmUsPerf_Microreflections;</t>
  </si>
  <si>
    <t>docsIf3CmtsCmUsStatusMicroreflections</t>
  </si>
  <si>
    <t xml:space="preserve">Reported as 0 since not implemented by MULPI. </t>
  </si>
  <si>
    <t>K_CmUsPerf_EqData</t>
  </si>
  <si>
    <t>docsIf3CmtsCmUsStatusEqData</t>
  </si>
  <si>
    <t xml:space="preserve">Gauge value is always reported as 0.0. The EqData label is included ONLY when the K_CmUsPerf_EqData metric is "pushed" with a "-p" argument to telemd.  It is not provided in the K_CmUsPerf_EqData metric returned by a pulled scrape unless the parameter "?eqdata=t" is present. </t>
  </si>
  <si>
    <t>K_CmUsPerf_Unerroreds</t>
  </si>
  <si>
    <t>Counter</t>
  </si>
  <si>
    <t>docsIf3CmtsCmUsStatusUnerroreds</t>
  </si>
  <si>
    <t xml:space="preserve">Reported as absolute rather than delta counters (CBLOS-21680) also in 2.6.0.0-25+auto12. </t>
  </si>
  <si>
    <t>K_CmUsPerf_Correcteds</t>
  </si>
  <si>
    <t>docsIf3CmtsCmUsStatusCorrecteds</t>
  </si>
  <si>
    <t xml:space="preserve"> K_CmUsPerf_Uncorrectables</t>
  </si>
  <si>
    <t>docsIf3CmtsCmUsStatusUncorrectables</t>
  </si>
  <si>
    <t xml:space="preserve"> K_CmUsPerf_ HighResolutionTimingOffset</t>
  </si>
  <si>
    <t>K_CmUsPerf_IsMuted</t>
  </si>
  <si>
    <t>1 -yes , 0 - no</t>
  </si>
  <si>
    <t>K_CmUsPerf_RangingStatus</t>
  </si>
  <si>
    <t>mdName=
cmMacAddr=
ifName=
rpdName=
fnName=
rangingStatus=
operMode=
iucs=
modProfile=
selectedIuc= (OFDMA only)</t>
  </si>
  <si>
    <t xml:space="preserve">     SYNTAX      INTEGER {other(1)
                          aborted(2)
                          retriesExceeded(3)
                          success(4)
                          __continue(5)
                          timeoutT4(6)
                         }</t>
  </si>
  <si>
    <t>operMode = { "none""tdma""atdma""scdma" "tdmaAndAtdma"}
iucs = list of data IUCs in use
modProfile = modulation profile number</t>
  </si>
  <si>
    <t>K_Cops</t>
  </si>
  <si>
    <t>Reported by "telemd-m" container of "vcmts-m" pod.</t>
  </si>
  <si>
    <r>
      <t>Shows status of existing COPS TCP sessions to a Packetcable COPS sever. Analogous to CLI commands "</t>
    </r>
    <r>
      <rPr>
        <b/>
        <sz val="11"/>
        <rFont val="Calibri"/>
        <family val="2"/>
        <charset val="1"/>
      </rPr>
      <t>show cops server</t>
    </r>
    <r>
      <rPr>
        <sz val="11"/>
        <rFont val="Calibri"/>
        <family val="2"/>
        <charset val="1"/>
      </rPr>
      <t>" and "</t>
    </r>
    <r>
      <rPr>
        <b/>
        <sz val="11"/>
        <rFont val="Calibri"/>
        <family val="2"/>
        <charset val="1"/>
      </rPr>
      <t>show packetcable cms</t>
    </r>
    <r>
      <rPr>
        <sz val="11"/>
        <rFont val="Calibri"/>
        <family val="2"/>
        <charset val="1"/>
      </rPr>
      <t xml:space="preserve">".  Reported only while TCP socket is up. 
</t>
    </r>
  </si>
  <si>
    <t>K_Cops_State</t>
  </si>
  <si>
    <t>gauge</t>
  </si>
  <si>
    <r>
      <t xml:space="preserve">clientHandle=
clientType=
csIpAddr=
kaTimeout=
remoteTcpPort=
state=
localIpAddr=
localTcpPort=
majorVersion=
minorVersion=
</t>
    </r>
    <r>
      <rPr>
        <sz val="11"/>
        <rFont val="Calibri"/>
        <family val="2"/>
      </rPr>
      <t>numSessions=</t>
    </r>
    <r>
      <rPr>
        <sz val="11"/>
        <rFont val="Calibri"/>
        <family val="2"/>
        <charset val="1"/>
      </rPr>
      <t xml:space="preserve">
psid=</t>
    </r>
  </si>
  <si>
    <t>idle(1) accepted(2) closed(3)</t>
  </si>
  <si>
    <r>
      <t xml:space="preserve">A closed gate is reported as "closed" for at least 20 seconds.  "state" label is name of the state. Label "localIpAddr" is ASCII of IPv4 dotted decimal or zero-filled IPv6.  .0x800A (32778) for PCMM 0x8008 (32776)for PC1.5
</t>
    </r>
    <r>
      <rPr>
        <sz val="11"/>
        <rFont val="Calibri"/>
        <family val="2"/>
      </rPr>
      <t>clientHandle= COPS client handle
clientType= COPS client type number
csIpAddr= COPS server IP address
remoteTcpPort =  TCP port of remote COPS server</t>
    </r>
    <r>
      <rPr>
        <sz val="11"/>
        <rFont val="Calibri"/>
        <family val="2"/>
        <charset val="1"/>
      </rPr>
      <t xml:space="preserve">
</t>
    </r>
    <r>
      <rPr>
        <sz val="11"/>
        <rFont val="Calibri"/>
        <family val="2"/>
      </rPr>
      <t>state = "idle" | "accepted" | "closed"
localIpAddr = vCMTS IP address connected to COPS server
localTcpPort = vCMTS TCP port
kaTimeout= Keepalive timeout in seconds
numSessions= Number of sessions with COPS server
majorVersion= COPS server major version
minorVerstion= COPS server minor version
psid= PCMM session ID
type= "PCMM" | "PC1.5"</t>
    </r>
  </si>
  <si>
    <t>Note (1)</t>
  </si>
  <si>
    <t>K_DocsQos</t>
  </si>
  <si>
    <t>This group is intended to be shown in a Grafana table that shows the attributes of the K_DocsQos_Params metric for each service flow (SF) of a CM in the "CM DrillDown" dashboard and for all service flows  in a Mac Domain in an "MD Details" dashboard.  The "key labels" uniquely identify a service flow. Each "attribute label" corresponds to a docsQosParamSet*  object of a  "QOS Parameter Set" (QPS) of the service flow as described in DOCS-QOS3-MIB.  Please see that MIB for a full description of the label value. In some cases the label name has been abbreviated from the MIB object name for brevity and the label name adds units for human observation.  Note that while the MIB contains three QPS rows per SF (one for each docsQosParamSetType) telemetry only reports the currently effective QPS.  The effective QPS for statically configured flows  is always the "active" QPS.  The effective QPS for dynamic SFs may be "active""admitted"if not "active" or  "provisioned"   if neither "admitted" or "active". 
Note that all labels must be present for all service flows.  If a  QPS parameter  is not present for an SF (i..e its corresponding bit  is 0 in the dosQosParamSetBitMap) the label value is  "-" 
All labels for numeric values are in decimal unless indicated otherwise. By telemetry convention label values in hexadecimal have a leading "0x" if the value corresponds to a fixed-length integer or without an "0x" for variable length octet strings.  Hex integer values are zero-filled e.g. "0x00000001" for a 32-bit integer. 
Due to Excel row height limits the K_DocsQos_Param  labels are shown in two rows.</t>
  </si>
  <si>
    <t>K_DocsQos_Params  (row 1 of 2)</t>
  </si>
  <si>
    <t>gauge=0</t>
  </si>
  <si>
    <t>mdName=
rpdName=
cmMacAddr=
dir=
sfIndex=
qps=
type=
scn=
priority=
maxRateBps=
maxTrafficBurstBytes=
minReservedRateBps=
minReservedPktBytes=
activeTimeoutSecs=
admittedTimeoutSecs=
maxConcatBurstBytes=
schedulingType=
nomPollIntervalUsecs=
tolPollJitterUsecs=
unsolicitGrantSizeBytes=
nomGrantIntervalUsecs=
tolGrantJitterUsecs=
grantsPerInterval=</t>
  </si>
  <si>
    <t>Key labels:  (identify a unique service flow)
  mdName= vCMTS mac-domain name e.g. "MdX:Y/Z.0"
  rpdName= configured RPD name for the mac-domain
  cmMacAddr= Mac addess of a CM on the mac-domain
  dir= { "downstream" "upstream" }  direction of the flow
  sfIndex= CM-unique index of the flow on the CM re-used with   each CM re-registration.  The current SFID for a CM's sfIndex is reported as K_Samis1_SfId.  
Attribute labels:  (relatively fixed for life of a service flow)
  qps= docsQosParamSetType  {"active" "admitted" "provisioned"} the effective QPS type per the MULPI "russian doll" model; 
  type= { "cm-config""cm-dynamic" "cmts-dynamic" }  service flow type
  scn= docsQosServiceClassName
  priority= ascii decimal 0..7 as the docsQosParamSetPriority the configured traffic priority for the flow. For DS flows Harmonic maps traffic priority to a WFQ weight. 
  maxRateBps = docsQosParamSetHCMaxTrafficRate the sustained maximum rate in bits/sec. 
  maxTrafficBurstBytes = docsQosMaxTrafficBurst the sustained maximum traffic rate burst in bytes.
  minReservedRateBps = docsQosParamSetHCMinReservedRate the minimum reserved traffic rate in bits/sec.
  minReservedPktBytes = docsQosParamSetMinReservedPkt the assumed minimum packet size in bytes for minimum reserved rate
  activeTimeoutSecs = docsQosParamSetActiveTimeout maximum  time for an active flow to not be passinge data in seconds; 0 is infinite.
  admittedTimeoutSecs= docsQosParamSetAdmittedTimeout maximum time permitted for an admitted flow to not become active; 0 is infinite.
  maxConcatBurstSecs= docsQosParamsSetMaxConcatBurst maximum size of SCQAM upstream concatenated burst in bytes
  schedulingType= docsQosParamSetSchedulingType for upstream flow: { "undefined" "bestEffort"  "nrtps"  "rtps"  "ugsad" "ugs" }
  nomPollIntervalUsecs = docsQosParamSetNomPollInterval nominal polling interval in microseconds.
  tolPolJitterUsecs= docsQosParamSetTolPollJitter tolerated poll jitter in microseconds
  unsolicitGrantSizeBytes= docsQosParamSetUnsolicitGrantSize UGS grant size in bytes
  nomGrantIntervalUsecs= docsQosParamSetNomGrantInterval nominal grant interval in microseconds
  tolGrantJitterUsecs= docsQosParamSetTolGrantJitter tolerated grant jitter in microseconds.
  grantsPerInterval= docsQosParamSetGrantsPerInterval grants per nomGrantIntervalUsecs  each of unsolicitGrantSizeBytes.</t>
  </si>
  <si>
    <t>K_DocsQos_Params (row 2 of 2)</t>
  </si>
  <si>
    <t xml:space="preserve">  tosAndMask= docsQosParamSetTosAndMask as an 8-bit integer in hex  e.g. "0x03".  
  tosOrMask=  docsQosParamSetTosOrMask as an 8-bit integer in hex e.g. "0x40"
  maxLatencyUsecs= docsQosParamSetMaxLatency in microseconds. 
  requestPolicyOpt= docsQosParamSetRequestPolicyOpt expressed as 32-bit zero-filled  hexadecimal integer  with a  leading "0x".  See Note (1) below.
  requiredAttrMask= docsQosParamSetRequiredAttrMask required attribute mask expressed as 32-bit zero-filled hexadecimal integer with a leading "0x". 
  forbiddenAttrMask= docsQosParamSetForbiddenAttrMask forbidden attribute mask expressed as 32-bit zero-filled  hexadecimal integer with a leading "0x". 
  attrAggrRuleMask= docsQosParamSetAttrAggrRuleMask attribute aggregation rule mask for bonding groups expressed as 32-bit zero-filled  hexadecimal integer with a leading "0x". 
  applicationId = SF application identifier TLV [24/25].34  (not in docsQosParamSet)
  multiplierCRW= docsQosParamSetMultiplierContentionReqWindow multiplier of contention request window
  multiplierBytesReq= docsQosParamSetMultiplierBytesReq multiplier of bytes requested
  maxReqPerCluster= docsQosParamSetMaxReqPerSidCluster maximum requests per SID cluster
  maxOutBytesPerCluster= docsQosParamSetMaxOutstandingBytesPerSidCluster maximum outstanding requested bytes per SID cluster
  maxTotalBytesPerCluster= docsQosParamSetMaxTotBytesReqPerSidCluster maximum total bytes requested per SID cluster
  maxTimeInClusterMsecs= docsQosParamSetMaxTimeInSidCluster maximum time in SID cluster in milliseconds
  peakTrafficRateBps= docsQosParamSetHCPeakTrafficRate peak traffic rate in bits per second
  dsResequencing= docsQosParamSetDsResequencing controlling whether CMTS allocates a resequeincing DSID { "ifBonded" "none" "notApplicable"}
  minBufferBytes= docsQosParamSetMinimumBuffer minimum buffer size in bytes for Docsis Buffer Control
  targetBufferBytes= docsQosParamSetTargetBuffer target buffer size in bytes for Docsis Buffer Control
  maxBufferBytes= docsQosParamSetMaximumBuffer maximumbuffer size in bytes for Docsis Buffer Control
  aqmDisabled= docsQosParamSetAqmDisabled { "yes" "no" } if "yes" Active Queue Management disabled for flow
  aqmTargetMsecs= docsQosParamSetAqmLatencyTarget target latency for Active Queue Management in milliseconds
  aqmAlgorithm= docsQosParamSetAqmAlgInUse algorithm in use for Active Queue Management { "unknown" "other" "docsisPIE" }
  flowWeight =  Harmonic-specific value 1..100  as mapped from traffic priority. Default mapping is:  TP0=10 TP1=20 TP2=30 TP3=40 TP4=50 TP5-60 TP6=70 TP7=80</t>
  </si>
  <si>
    <t xml:space="preserve"> Note(1) Each bit of requestPolicyOpt represents an upstream transmission policy to be followed by the CM: {
      broadcastReqOpp(0): If set ignore "all CMs" broadcast request opportunities
     priorityReqMulticastReq(1):  If set ignore priority request multicast request opportunities
     reqDataForReq(3):  If set ignore request/data opportunities for requests
     reqDataForData(4):  If set ignore request/data opportunities for data
     concatenateData(5): If seet do not concatenate data
     fragmentData(6):  If set do not fragment data 
     suppressPayloadHeaders(7):  If set  do not suppress payload headers
     dropPktsExceedUGSize(8):  If set  drop packets that do not fit in the Unsolicited Grant size
     segmentHeaders(9):  If set do not use segment headers else  must use segment headers.
     multipleContention(10):  If set do not use contention requests for multiple outstanding requests.
}. Bits are numbered with 0 as the least significant. </t>
  </si>
  <si>
    <t>K_Dsg</t>
  </si>
  <si>
    <t>K_Dsg_RxPkts</t>
  </si>
  <si>
    <t>cfrId=
destIp=
enabled=
nsiMacAddr=
srcIp=
tgId=</t>
  </si>
  <si>
    <t xml:space="preserve">count of packets received on an NSI port matching a configured DSG classifier </t>
  </si>
  <si>
    <t xml:space="preserve">  cfrId = configured classifier ID
  destIp = configured classifier destination IPv4 address (multicast group IP)
  enable = yes|no as configured for classifier
  nsiMacAddr = NSI port destination MAC address derived from destIp
  srcIp = configured classifier source IPv4 address
  tgId= tunnel group  configued for the tunnel
  tunnelId= configured tunnel index to which classifier sends traffic</t>
  </si>
  <si>
    <t>K_Dsg_TxPkts</t>
  </si>
  <si>
    <t>gsfId=
ifName=
mdName=
rpdName=
tgId=
tunnelId=
tunnelMacAddr=</t>
  </si>
  <si>
    <t xml:space="preserve">count of DSG tunnel packets transmitted on a downstream channel </t>
  </si>
  <si>
    <t xml:space="preserve">   gsfId= MULPI group service flow ID for tunnel traffic 
   ifName= interface name of enabled primary downstream channel sending DSG tunnel traffic
   mdName= Mac domain name
   rpdName=  RPD name
   tgId=  tunnel group configured for the tunnel
   tunnelId= configured tunnel index</t>
  </si>
  <si>
    <r>
      <t>K_HaMdActiv</t>
    </r>
    <r>
      <rPr>
        <sz val="14"/>
        <rFont val="Calibri"/>
        <family val="2"/>
        <charset val="1"/>
      </rPr>
      <t>e</t>
    </r>
  </si>
  <si>
    <t>Reported by "telemd-cd" container of all "vcmts-cd" pods.</t>
  </si>
  <si>
    <t>K_HaMdActive</t>
  </si>
  <si>
    <t>Gauge {0/1}</t>
  </si>
  <si>
    <t>mdName=</t>
  </si>
  <si>
    <t>1 or 0</t>
  </si>
  <si>
    <t xml:space="preserve">The "active" CD pod for an MD reports  "1" if the MD is "operational" (forwarding) or "0" otherwise. The "standby" CD pod for the MD always reports "0".  </t>
  </si>
  <si>
    <t>"ds1:0/2/3"</t>
  </si>
  <si>
    <t xml:space="preserve">  </t>
  </si>
  <si>
    <t>K_IfCounters
(Avro)</t>
  </si>
  <si>
    <t>K_IfCounters_utilization</t>
  </si>
  <si>
    <t>docsIfCmtsChannelUtUtilization</t>
  </si>
  <si>
    <t xml:space="preserve">Time utilization in last 15 seconds.  Reported for RF channels only.  Rounded up to nearest 0.1%.
For both downstream and upstream shows the actual fraction of modulation symbols available for data.  This is not calculated by dividing data throughput by an estimated maximum data throughput capacy. </t>
  </si>
  <si>
    <t>K_IfCounters_in_Octets</t>
  </si>
  <si>
    <t>ifHCInOctets</t>
  </si>
  <si>
    <t xml:space="preserve">Reported for RF channels and mac-domains </t>
  </si>
  <si>
    <t>K_IfCounters_out_Octets</t>
  </si>
  <si>
    <t>IfHCOutOctets</t>
  </si>
  <si>
    <t>Reported for RF channels and mac-domains</t>
  </si>
  <si>
    <t>K_IfCounters_in_Discards</t>
  </si>
  <si>
    <t>IfHCInDiscards</t>
  </si>
  <si>
    <t>Reported for mac-domains only</t>
  </si>
  <si>
    <t>K_IfCounters_out_Discards</t>
  </si>
  <si>
    <t>IfHCOutDiscards</t>
  </si>
  <si>
    <t>K_IfCounters_in_Errors</t>
  </si>
  <si>
    <t>ifInErrors</t>
  </si>
  <si>
    <t>K_IfCounters_out_Errors</t>
  </si>
  <si>
    <t>ifOutErrors</t>
  </si>
  <si>
    <t>K_IfCounters_in_UcastPkts</t>
  </si>
  <si>
    <t>ifHCInUcastPkts</t>
  </si>
  <si>
    <t>K_IfCounters_out_UcastPkts</t>
  </si>
  <si>
    <t>ifHCOutUcastPkts</t>
  </si>
  <si>
    <t>K_IfCounters_out_McastPkts</t>
  </si>
  <si>
    <t>ifHCOutMulticastPkts</t>
  </si>
  <si>
    <t>K_IfCounters_in_McastPkts</t>
  </si>
  <si>
    <t>ifHCInMulticastPkts</t>
  </si>
  <si>
    <t>K_IfCounters_in_BcastPkts</t>
  </si>
  <si>
    <t>ifHCInBroadcastPkts</t>
  </si>
  <si>
    <t>K_IfCounters_out_BcastPkts</t>
  </si>
  <si>
    <t>ifHCOutBroadcastPkts</t>
  </si>
  <si>
    <t>K_IfCounters_in_UnknownProtos</t>
  </si>
  <si>
    <t>ifInUnknownProtos</t>
  </si>
  <si>
    <t>K_IfCounters_in_Unerroreds</t>
  </si>
  <si>
    <t>Delta count of unerrored FEC blocks received on this channel</t>
  </si>
  <si>
    <t>K_IfCounters_in_Correcteds</t>
  </si>
  <si>
    <t>Delta  count of corrected FEC blocks received on this channel</t>
  </si>
  <si>
    <t>K_IfCounters_in_Uncorrectables</t>
  </si>
  <si>
    <t>Delta  count of uncorrectable FEC blocks received on this channel</t>
  </si>
  <si>
    <t>K_IpSubnet</t>
  </si>
  <si>
    <t xml:space="preserve">
Reported by all vcmts-cd pods that are active for any mac-domain.  Note that multiple vcmts-cd pods may report the same same IP subnets.  Describes the number of learned IP addresses in each combination of  IP Subnet and  host IP  type. Does not count statically assigned CPEs in an IP subnet.</t>
  </si>
  <si>
    <t>K_IpSubnet_Count</t>
  </si>
  <si>
    <t>ipSubnet=
hostType=
prefixLength=</t>
  </si>
  <si>
    <t xml:space="preserve">Number of leased IP  hosts in the ipSubnet learned from snooping DHCP. </t>
  </si>
  <si>
    <t xml:space="preserve"> "ipSubnet" label   is either a dotted-decimal IPv4 or a zero-expanded IPv6 address.  "prefixLength" label is the decimal number of bits in the IP subnet prefix. "hostType=" label identifes  type of host IP address:  "CM"  "CPE" external CPE "EMTA" Embedded MTA "ESTB" Embedded Set Top Box. </t>
  </si>
  <si>
    <t>K_L2vpn</t>
  </si>
  <si>
    <t>Metrics for  L2VPN point-to-point service between an 802.1Q single-tagged VLAN NSI port encapsulation and a CM configured to forward a service flow. Each logical L2VPN has a binary L2VPNID configured in the CM config file.  Common labels include
 mdName = Mac Domain containing CM
 rpdName=  Name of RPD for  the CM
cmMacAddr= MAC address of CM 
vlan= 802.1Q vlan_id (in decimal)
vpnId=  L2VPN ID configured  (in hex)</t>
  </si>
  <si>
    <t>K_L2vpn_DsPkts</t>
  </si>
  <si>
    <t>mdName=
rpdName=
cmMacAddr=
vlan=
vpnId=
nsiMacAddr=</t>
  </si>
  <si>
    <t>Downstream Packets for L2VPN point-to-point service</t>
  </si>
  <si>
    <t xml:space="preserve">nsiMacAddr = Mac Domain MAC Address used for  IP forwarding from the MAC domain on the same NSI port. </t>
  </si>
  <si>
    <t>K_L2vpn_UsPkts</t>
  </si>
  <si>
    <t xml:space="preserve">Counter </t>
  </si>
  <si>
    <t>mdName=
rpdName=
cmMacAddr=
vlan=
vpnId=</t>
  </si>
  <si>
    <t>Upstream packets fro L2VPN point-to-point service</t>
  </si>
  <si>
    <t>K_Ofdm</t>
  </si>
  <si>
    <t xml:space="preserve">Added with CBLOS-21132 primarily to provide information for OFDM leakage detection monitors. </t>
  </si>
  <si>
    <t>K_Ofdm_Config</t>
  </si>
  <si>
    <t>Reports current configuration of a "cable ds-rf-port chas:slot/port ofdm-channel index"
adminState = {"up" | "down"}
configBdryLowerHz= configured lower boundary in Hz before lower guardband e.g. 660000000
configBdryUpperHz=configured upper boundary in Hz after upper guardband e.g. 756000000
cyclicSamples={"192""256""512""768""1024"}  e.g. 256
defaultOfdmProfile={ "A" | "B" | ... | "P"}  default OFDM profile
interleave= time interleave depth e.g. 16
pilotScaleFactor= factor in computing number of pilots e.g. 48
plcBlockFreqHz=  center of first subcarrier of 6Mhz block containing the PLC e.g. 708000000
powerAdjustDb=  channel's adjust to ds-rf-port base power density
queryLoadPct= Query load percent 
queryPeriodSecs = Query period in seconds
rfMute= {"yes" | "no"}
rolloffSamples={"0""64""128""192""256"} 
subcSpacing= {"25khz""50khz"}</t>
  </si>
  <si>
    <t>K_Ofdm_Status</t>
  </si>
  <si>
    <t>Value = 0</t>
  </si>
  <si>
    <t>Reports values calculated from the channel configuration.  Example values  are for a 96 Mhz OFDM channel from 660 to 756 Mhz with 50khz spacing and default 1Mhz guardbands. 
activeBdryLowerHz= lower edge of first active subcarrier e.g. 660975000
activeBdryUpperHz=upper edge of last active subcarrier  e.g. 754975000
activeSubcFirst= subcarrier index of the first nonexcluded subcarrier e.g. 1108
activeSubcLast= subcarrier index of the last nonexcluded  subcarrier e.g. 2987
channelCenterHz = center frequency beteween configured lower and upper boundaries e.g. "708000000".
cyclicUsecs= Microseconds of cyclicSamples at 208.4 Msamples/sec
docsisChanId= DOCSIS channel ID e.g. 193
fftMode={"4096""8192"} e.g. 4096
gbandLowWidthHz= width of lower guardband e.g. 1000000 (configured)
gbandHighWidthHz = width of upper guardband e.g. 1000000 (configured)
numActiveSubc= number of "active" subcarriers i.e. other than PLC continuous pilots or excluded e.g. 1840 (i..e 
numPilots= number of continuous pilots e.g. 32
rolloffUsecs= Microseconds of rolloffSamples at 208.4 Msamples/sec
subcZeroCenterHz= center frequency of subcarrier 0 e.g. 605600000.</t>
  </si>
  <si>
    <t>K_Ofdm_Subcarriers</t>
  </si>
  <si>
    <t xml:space="preserve">Each metric instance reports one "Subcarrier Assignment Range List" TLV from the current  OCD (Ofdm Channel Descriptor) message of an OFDM channel.  PLC and excluded subcarriers are reported via a range while continuous pilots are reported as a list.  Ranges are always continuous (skip=0) and assignments are always "specific" rather than "default".   
See "snmp_DsOfdm_SubcarrierStatus" for the description of data subcarrier ranges from a DCD message. 
changeCount =  OCD's configuration change count (in decimal)
listSubc= comma-separated list of subcarrier indexes (for continuous "pilot" type) in increasing index order. 
numSubc= number of subcarriers
rangeCenterHzFirst = center freq of first subcarrier in range  or "-" for list
rangeCenterHzLast= center freq of last subcarrier in  range or "-" for list
rangeSubcFirst = starting subcarrier index of a range or "-" for list
rangeSubcLast = ending subcarrier index of a range or "-" for list
type = { "PLC"  "pilot" "excluded"}   "pilot" means  continuous pilot. </t>
  </si>
  <si>
    <t xml:space="preserve">K_Oob551Ds </t>
  </si>
  <si>
    <t>Reported by "telemd" container on the OOB server for SCTE 55.1 Out-of-Band downstream channels. "omSrcIp" label is source IP of OM-to-DS-OOB packets i.e. the IP address of the OM. "omDestIp" is the dest IP of OM-to-DS-OOB packets i.e.  the IP address on the DS-OOB.  "omDestUdpPort" is the UDP destination port of OM-to-DS-OOB  traffic.   "depiGroupIp" is the destination (multicast group) IP address of DS-OOB-to-RPD DEPI packets.  "depiSrcIp" is the source IP address of such packets i.e. the DS OOB core's IP address. "depiSessionId" is the DEPI session ID  of DS-OOB-to-RPD DEPI packets.</t>
  </si>
  <si>
    <t>K_Oob551DsRxOmIpPackets</t>
  </si>
  <si>
    <t xml:space="preserve">
omSrcIp
omDestIp
omDestUdpPort</t>
  </si>
  <si>
    <t>counter</t>
  </si>
  <si>
    <t xml:space="preserve">Count of incoming IP multicast packets received from an IP socket as transmitted to the IPv4 destination address "omDestIp" (which may be unicast or multicast" and the UDP port "omDestUdpPort".  This does not count input IP packets discarded by the IP socket layer itself.  </t>
  </si>
  <si>
    <t xml:space="preserve">OOB Core creates one object for every configured  55-1 multicast session from an OM. 
Customer should consider raising an alarm while the  1-minute average of any instance of this metric is zero.
19Jul: Current software counts only per socket which should be OK. 
</t>
  </si>
  <si>
    <t>K_Oob551DsRxOmMpegFrames</t>
  </si>
  <si>
    <t xml:space="preserve">Count of the incoming MPEG 188-byte transport stream  frames accepted in the packets counted by K_Oob551DsRxOmIpPackets.  </t>
  </si>
  <si>
    <t xml:space="preserve">The  volume of traffic reported by this metric may help indicate misconfiguration of the OM2000 multiplexing and forwarding to the DS-OOB core.  To avoid confusion with "IP Packet"  the term "MPEG frame" is used instead of the more common industry term "TS Packet". </t>
  </si>
  <si>
    <t>K_Oob551DsRxOmMpegErrors</t>
  </si>
  <si>
    <t xml:space="preserve">
omSrcIp
omDestIp
omDestUdpPort
reason</t>
  </si>
  <si>
    <t xml:space="preserve">Count of the received MPEG 188-byte transport stream frames (as counted in  K_Oob551DsRxOmMpegFrames) that were  dropped for any reason before they could be identified for transmission to a  particular  DEPI multicast session.   This includes any MPEG frames dropped as invalid e.g. for a malformed MPEG header. </t>
  </si>
  <si>
    <t xml:space="preserve"> If the MPEG frame is dropped without knowledge of the originating OM report with omDestIp=0.0.0.0 and omDestUdpPort=0. 
"reason" is an engineering-determined drop reason.   Certain reason counts may aggregate multiple cases that are distinguished only by log messages.  Customer should consider raising an alarm while the 1-minute sum of all instances of this metric is nonzero.</t>
  </si>
  <si>
    <t>K_Oob551DsTxDepiIpPackets</t>
  </si>
  <si>
    <t>depiGroupIp
depiSrcIp
depiSessionId</t>
  </si>
  <si>
    <t xml:space="preserve">Count of multicast IP packets successfully transmitted on an output socket to the indicated DEPI multicast session.  </t>
  </si>
  <si>
    <t xml:space="preserve">OOB Core creates one object for every configured  DEPI multicast session to RPDs.  "depiSrcIp' is nonzero only for configured Source Specific Multicast (SSM) from the OOB core.  Customer should consider raising an alarm while the 1 minute sum of this metric for any instance is zero. </t>
  </si>
  <si>
    <t>K_Oob551DsTxDepiMpegFrames</t>
  </si>
  <si>
    <t>Count of 188-byte MPEG transport stream frames output on a particular DEPI multicast session in the IP frames counted by K_Oob551DsTxDepiMcastIpPackets</t>
  </si>
  <si>
    <t>K_Oob551DsTxDepiMpegDiscards</t>
  </si>
  <si>
    <t>depiGroupIp
depiSrcIp
depiSessionId
reason</t>
  </si>
  <si>
    <t xml:space="preserve">Count of 188-byte MPEG transport stream frames identified for transport to a particular DEPI multicast session that could not be sent to the O/S IP socket layer for  the indicated reason.  This counts singly dropped MPEG frames (e.g. due to internal queue overflow) as well as the set of multiple MPEG frames in a failed IP socket send call.  This does not count MPEG frames in IP packets discarded by the socket layer after a successful send() call. </t>
  </si>
  <si>
    <t>OOB Core creates one object for every configured  DEPI multicast session to RPDs.  "depiSrcIp' is nonzero only for Source Specific Multicast (SSM).  "reason" is an engineering-determined discard reason.  Certain "reason" label counts may aggregate multiple cases distinguished only by log messages.  Customer should consider raising an alarm while the 1-minute sum of all  instances of this metric is nonzero.</t>
  </si>
  <si>
    <t>K_Oob551Us</t>
  </si>
  <si>
    <t>Reported by "telemd" container in the OOB core to report metrics for upstream out-of-band channels.</t>
  </si>
  <si>
    <t>K_Oob551UsRxPackets</t>
  </si>
  <si>
    <t>rpdL2tpSessionId
rpdSrcIp</t>
  </si>
  <si>
    <t xml:space="preserve">Count of  validly decoded L2tpv3 ARPD packets on the labelled L2tpv3 session ID from the labelled RPD source IP. </t>
  </si>
  <si>
    <t xml:space="preserve">
The OOB Core implements one entry for each configured l2tp session and dynamically learned rpdSrcIp sending to it.   RdpSrcIp is dynamically learned.
On the US OOB Core l2tpSessionId is configured with  XML xpath arpds/arpd[]/rpds/rpd[]/l2tp-session-id).
 On the Data Core each l2tp-session-id is configured with the CLI commands   "cable us-rf-port * oob-channel * oob-dest d " and "cable oob-dest d us-vc oob-ip-addr l2tp l2tp-session-id".  Customer should consider raising an alarm while  this metric remains zero for more than an entire STB "Idle" period (currently 2 hours).</t>
  </si>
  <si>
    <t>K_Oob551UsRxUnknown</t>
  </si>
  <si>
    <t>Count of  ARPD packets dropped because they were sent to an unknown (i.e. unconfigured) l2tpSession ID</t>
  </si>
  <si>
    <t xml:space="preserve">
Customer should consider raising an alarm while the 1-minute average  of this metric is nonzero.  </t>
  </si>
  <si>
    <t>K_Oob551UsRxErrors</t>
  </si>
  <si>
    <t>rpdL2tpSessionId
rpdSrcIp
reason</t>
  </si>
  <si>
    <t>Received packets to a configured rpdL2tpSessionId  that were dropped due to any input format decoding error. These are not counted in K_Oob551UsRxPackets.</t>
  </si>
  <si>
    <t xml:space="preserve">"reason" is an engineering-determined drop reason.   Customer should consider raising an alarm while the 1-minute  sum of all instances of this metric for an rpdSrcIp is nonzero. 
</t>
  </si>
  <si>
    <t>K_Oob551UsRxAvgCellPower</t>
  </si>
  <si>
    <t>This metric reports the average power level from nominal  during the reported interval of all received MAC Cells by the demodulator for this upstream SCTE 55-1 channel in tenths of a dB. The six power level bits 1 in the US SCTE 55-1 OOB packet report the nominal power per cell in units of 0.5 dB.</t>
  </si>
  <si>
    <t xml:space="preserve">Definition derived from R-OSSI which defines all cell-based metrics on a per-demodulator basis.  Each demodulator on a particular  us-rf-port must  be configured with a different lt2p-session-id for equivalent reporting on the OOB Core.    Note that alhough a  metric value may be  floating point  this average cell power value  is reported as an integer of db-tenths. </t>
  </si>
  <si>
    <t>K_Oob551UsRxPerfectCells</t>
  </si>
  <si>
    <t>This metric reports the number of perfect (i.e. unerrored) cells received by the demodulator for this SCTE 55-1 US channel. Perfect cells have status 0 in the US SCTE 55-1 OOB packet.</t>
  </si>
  <si>
    <t xml:space="preserve">Definition derived from R-OSSI. </t>
  </si>
  <si>
    <t>K_Oob551UsRxCorrectedCells</t>
  </si>
  <si>
    <t>This metric  reports the number of errored cells received by the demodulator for this SCTE 55-1 US channel that were successfully corrected. Corrected cells have status 1 in the US SCTE 55-1 OOB packet.</t>
  </si>
  <si>
    <t>K_Oob551UsRxUncorrectableCells</t>
  </si>
  <si>
    <t>This metric reports the number of errored cells received by the demodulator for this SCTE 55-1 US channel that could not be corrected. Uncorrectable cells have status 3 in the US SCTE 55-1 OOB packet.</t>
  </si>
  <si>
    <t>Definition derived from R-OSSI. 
Customer should consider raising an alarm while the 1-minute sum of uncorrectable cells exceeds a  threshold (e.g. 1 percent) of all cells received on an rpdSrcIp.</t>
  </si>
  <si>
    <t>K_Oob551UsTxArpdCells</t>
  </si>
  <si>
    <t>ncDestIp
ncDestUdpPort
virtArpdSrcIp</t>
  </si>
  <si>
    <t xml:space="preserve">Count of 56-byte cells  internally multiplexed upstream to the NC destination IP and UDP port  from the  set of RPDs aggregated to a  virtual ARPD source IP. </t>
  </si>
  <si>
    <t xml:space="preserve">ncDestIp is the XML xpath  arpd[]/targets/target[]/dest-addr.
  ncDestUdpPort is the XML xpath arpd[]/targets/target[]/dest-port.
 virtArpdSrcIp is xpath ./arpd[]/target/source-addr. </t>
  </si>
  <si>
    <t>K_Oob551UsTxArpdDatagrams</t>
  </si>
  <si>
    <t xml:space="preserve">Count of ARPD datagrams internally multiples sent to the  NC destination IP and UDP port  from the  set of RPDs aggregated to   the same  virtual ARPD source IP. </t>
  </si>
  <si>
    <t>The total bandwidth sent to the NC from the OOB Core can be estimated from K_Oob551UpTxFrames   K_Oob551UpTxDatagrams.</t>
  </si>
  <si>
    <t>K_Oob551UsTxDatagramDiscards</t>
  </si>
  <si>
    <t>ncDestIp
ncDestUdpPort
virtArpdSrcIp
reason=</t>
  </si>
  <si>
    <t>Internaly multiplexed ARPD packet discarded due to an inability to forward e.g. due to  failure to send on an IP socket.</t>
  </si>
  <si>
    <t>"reason" is an engineering-determined discard reason. Customer should consider raising an alarm while the 1-minute sum of all instances of this metric is nonzero.</t>
  </si>
  <si>
    <t>K_PktcGate</t>
  </si>
  <si>
    <r>
      <t>Reported by "telemd-m" container of "vcmts-m" pod..Displays currently active PacketCable gates (i.e. calls).  Analogous to CLI  "</t>
    </r>
    <r>
      <rPr>
        <b/>
        <sz val="11"/>
        <rFont val="Calibri"/>
        <family val="2"/>
        <charset val="1"/>
      </rPr>
      <t>show packetcable gate</t>
    </r>
    <r>
      <rPr>
        <sz val="11"/>
        <rFont val="Calibri"/>
        <family val="2"/>
        <charset val="1"/>
      </rPr>
      <t xml:space="preserve">". 
</t>
    </r>
  </si>
  <si>
    <t>K_PktcGate_State</t>
  </si>
  <si>
    <t>cmMacAddr=
cmIpV4Addr=
cmIpV6Addr=
csIpAddr=
dsSfId=
gateId=
mdName=
rpdName=
priority=
usSfid=
state=
subIpAddr=
type=
&lt;first classifier attributes&gt;</t>
  </si>
  <si>
    <t>Value is {
  Idle(1)
  Authorized(2)
  Reserved(3)
  Committed(4)
  CommitedRecov(5)  -- activity timeout
}</t>
  </si>
  <si>
    <t>Intended for "table" display of  gates one per row. Labels are  based on CLI "show packetcable gate summary". 
cmMacAddr = CM mac address
cmIpV4Addr = CM IPv4 address or "0.0.0.0"
cmIpV6Addr = Cm Ipv6 address or "::"
csIpAddr = Cops Server IP addr
dsSfId= Downstream SFID or "-"
gateId = Gate ID in decimal
mdName = Mac Domain name
priority= "normal" or "high"
usSfId= Upstream SFID or "-"
state= Value enumeration name 
subIpAddr= Subscriber IP address
type= "PC1.5" or "PCMM"</t>
  </si>
  <si>
    <t>K_PktcGate_Classifier</t>
  </si>
  <si>
    <t>cmMacAddr=
mdName=
rpdName=
gateId=
classId=
&lt;attributes&gt;</t>
  </si>
  <si>
    <t xml:space="preserve">Confirm this is needed in addition to the SF classifier state. </t>
  </si>
  <si>
    <t>K_Reef</t>
  </si>
  <si>
    <t>K_Reef_ChassisConnectionStatus</t>
  </si>
  <si>
    <t>rpdName=
rpdId=
rpdMacAddr=
chassisConnectionStatus=</t>
  </si>
  <si>
    <t>Possible values:
    operational = 1,
    failure = 2
chassisConnectionStatus label can be set to “operational” or “failure” respectively</t>
  </si>
  <si>
    <t>If the chassis connection’s status is failure, all the rest K_Reef metrics are not reported to telemd. They are restored after the chassis connection has becoming operational.</t>
  </si>
  <si>
    <t>K_Reef_FanStatus</t>
  </si>
  <si>
    <t>rpdName=
rpdId=
rpdMacAddr=
fanStatus=</t>
  </si>
  <si>
    <t>Possible values:
    operational = 1,
    failure = 2,
    disconnected = 3
fanStatus label can be set to “operational”, “failure” or “disconnected” respectively</t>
  </si>
  <si>
    <t>K_Reef_PanelStatus</t>
  </si>
  <si>
    <t>rpdName=
rpdId=
rpdMacAddr=
panelStatus=</t>
  </si>
  <si>
    <t>Possible values:
    operational = 1,
    disconnected = 3
panelStatus label can be set to “operational” or “disconnected” respectively</t>
  </si>
  <si>
    <t>K_Reef_PowerSupplyStatus</t>
  </si>
  <si>
    <t>rpdName=
rpdId=
rpdMacAddr=
powerSupplyStatus=
supply=</t>
  </si>
  <si>
    <t>Possible values:
    operational = 1,
    failure = 2,
    disconnected = 3
powerSupplyStatus label can be set to “operational”, “failure” or “disconnected” respectively.
supply label can be set to “PS1” or “PS2”, depending on the position (top or bottom) of the PSU in the chassis.</t>
  </si>
  <si>
    <t>K_RipSubnet</t>
  </si>
  <si>
    <t>cmMacAddr=
cpeMacAddr=
ipv4Prefix=
Ipv6Prefix="-"</t>
  </si>
  <si>
    <t>Value is 0</t>
  </si>
  <si>
    <t>cmMacAddr is MAC address of CM with a CPE router advertising a RIPv2 subnet.
cpeMacAddr is the the MAC address of the CPE router.
ipv4Prefix is of the form "A.B.C.D/L"  for IPv4 subnet A.B.C.D and prefix length of L bits. 
ipv6Prefix is always "-"  because VCMTS currently  supports only IPv4 RIPv2.</t>
  </si>
  <si>
    <t>K_Samis1</t>
  </si>
  <si>
    <t>Each metric has key labels  "cmMacAddr" "mdName" "dir" and "sfIndex" to  identify the service flow to which the metric applies. "cmMacAddr" is in canonical format "xx:xx:xx:xx:xx:xx". "mdName" is ifName of mac domain e.g. "md1:2/3.0". "dir" is either "up" or "down". "sfIndex" is a CM-unique  index for the SF on the CM. 
These high-volume metrics can be polled separately  with the URL /metrics/samis1; they are omitted  from the frequent poll "/metrics/other".    They can be included  with the parameter "?samis1=t "or excluded with the parameter "?samis1=f".</t>
  </si>
  <si>
    <t>K_Samis1_SfId</t>
  </si>
  <si>
    <t>mdName=
rpdName=
cmMacAddr=
dir=
sfIndex=
scn=</t>
  </si>
  <si>
    <t>Reports the per-MD unique service flow ID.  
CBLOS-34486: added scn=</t>
  </si>
  <si>
    <t>K_Samis1_DeltaOctetsPassed</t>
  </si>
  <si>
    <t>mdName=
rpdName=
cmMacAddr=
dir=
sfIndex=</t>
  </si>
  <si>
    <t>Count of bytes forwarded since the last scrape (15 seconds).
Convert to bits/sec  with K_Samis1_DeltaOctetsPassed{}*8/15  
CBLOS-34486 added recType={"interim""stop""start"}</t>
  </si>
  <si>
    <t>K_Samis1_DeltaPacketsDropped</t>
  </si>
  <si>
    <t xml:space="preserve">Rate of packets dropped   per 15 seconds. </t>
  </si>
  <si>
    <t>K_Samis1_DeltaPacketsPassed</t>
  </si>
  <si>
    <t>Count of packets  forwarded since the last scrape (15 seconds).</t>
  </si>
  <si>
    <t>K_Samis1_RecType</t>
  </si>
  <si>
    <t xml:space="preserve">Interim(1) Stop(2) Start(3) Event(4) [unused]  
"Hold time" of 15 seconds.  </t>
  </si>
  <si>
    <t>K_Samis1_ServiceTimeCreated</t>
  </si>
  <si>
    <t>Value is milliseconds since epoch (midnight 1Jan1970 UTC) NOT sysTicks per docsQosServiceFlowTimeCreated</t>
  </si>
  <si>
    <t>K_Samis1_ServiceFlowChSet</t>
  </si>
  <si>
    <t>mdName=
rpdName=
cmMacAddr=
sfIndex=
dir=
sfChSet=</t>
  </si>
  <si>
    <t>sfChSet= two hexadecimal chars for each octet without leading "0x"</t>
  </si>
  <si>
    <t>K_UsOfdma</t>
  </si>
  <si>
    <t xml:space="preserve">Upstream OFDMA RXMER metrics
Due to the extremely large number of series (with up to 480  per CM per OFDMA channel)  this metric is intended to be polled with a separate job to the endpoint "/metrics/rxmer".  For testing purpose the metric can be returned with the "/metrics/rxmer=true" endpoint.  RXMER Probes are sent at a configured interval of no more frequently than every 5 minutes. with random staggering of +/- 50% between intervales.  The recommended /metrics/rxmer scrape interval and timeout is 60 seconds. </t>
  </si>
  <si>
    <t xml:space="preserve">K_UsOfdma_RxMer_dB </t>
  </si>
  <si>
    <t xml:space="preserve">  Value = floating point dB of RxMER averaged over data subcarriers in the 0-based minislot identified by msIndex</t>
  </si>
  <si>
    <t xml:space="preserve">
Labels:
    "mdName" = mac domain name
    "rpdName" = rpdName
    "cmMacAddr"= CM MAC address e.g. "02:00:00:00:00:00"
    "ifName"= OFDMA channel interface name e.g. "Oa1:0/0/0"
    "msIndex" = Minislot index starting with 0 for lowest frequency data sub-carrier </t>
  </si>
  <si>
    <t>K_Video_Config</t>
  </si>
  <si>
    <t>Reports certain configuration of video OOB channels</t>
  </si>
  <si>
    <t>vRpd_VideoChanPerf_BitrateBps</t>
  </si>
  <si>
    <t>channelIndex=
channelType=
ifName=
rfPortIndex=
rpdId=
rpdIpAddr=
rpdMacAddr=
rpdName=</t>
  </si>
  <si>
    <t>HarmonicVideoChanPerf.bitrate TLV</t>
  </si>
  <si>
    <t>Represents TLV 21.16.72.1.4 (Harmonic vendor-specific bitrate for video channels). The channelType label is always "dsScQam". Unique labels are channelIndex and ifName, other label values are the same for all the counters related to the same downstream port. The metric is not reported for non-Harmonic RPDs at all.</t>
  </si>
  <si>
    <t>K_Video_Config_ChannelFrequencyHz</t>
  </si>
  <si>
    <t>depiGroupIp=
depiSessionId=
ifName=
depiSrcIp=
videoSgName=
rpdId=
rpdIpAddr=
rpdMacAddr=
rpdName=</t>
  </si>
  <si>
    <t>The frequency of the channel used for video</t>
  </si>
  <si>
    <t>Provides the frequency value that is configured for a particular channel defined by ifName. depiSessionId is unique while depiGroupIp, depiSrcIp, and videoSgName are common for the same service group. rpd* labels are common for the same RPD. videoSgName represents an instance of "cable service-group" in CLI.</t>
  </si>
  <si>
    <t>K_Virtual</t>
  </si>
  <si>
    <t xml:space="preserve">These series report the configuration for the Virtual Splitting and Combining (VSC) feature. Each series reports a mapping from a mac-domain "virtual" port  to one of the "physical" RPD ports to which it is virtually split or combined.   An MD virtual port is a ds-rf-port configured with "split-mode virtual" or a us-rf-port configured with "combine-mode virtual".  A "physical" RPD port reported in a K_Virtual series is a ds-rf-port configured with "split-mode physical" or a us-rf-port configured with "combine-mode physical".  These series do not report ds-rf-ports with "split-mode standard" or us-rf-ports with "combine-mode standard".  
Common labels are:
  mdName=  Mac Domain configured  using a virtually split ds_rf_port or a virtually combined us_rf_port.
  physIfName=  Physical RPD port name to which the virtual port is split or combined 
  virtIfName= Virtually split/combined port name.
</t>
  </si>
  <si>
    <t>K_Virtual_DsRfPort</t>
  </si>
  <si>
    <t>mdName=
virtIfName=
physIfName=
mcastIpAddr=</t>
  </si>
  <si>
    <t>Value is 0.</t>
  </si>
  <si>
    <t>Reports the mapping from a "virtual" ds-rf-port of a  mac-domain to one "physical" RPD port to which it is split.
mcastIpAddr= configured multicast session IPv4 or IPv6 address to reach the RPDs to which the virtual ds-rf-port is split. 
Example: K_Virtual_DsRfPort{mcastIpAddr="239.239.239.239",mdName="Md7:0/15.0",physIfName="Ds3:0/0",virtIfName="vDs7:0/15"}</t>
  </si>
  <si>
    <t>K_Virtual_UsRfPort</t>
  </si>
  <si>
    <t>mdName=
virtIfName=
physIfName=</t>
  </si>
  <si>
    <t>Reports the mapping from one "virtual" us-rf-port of a mac-domain to one "physical" RPD port from which it is combined.
Example: K_Virtual_UsRfPort{mdName="Md7:0/15.0",physIfName="Us3:0/0",virtIfName="vUs7:0/15"}</t>
  </si>
  <si>
    <t xml:space="preserve">K_vRpdData </t>
  </si>
  <si>
    <t>Pushes  information for configured RPDs.   Currently pushes all state for an RPD on any attribute change (usually K_vRpdData_status).</t>
  </si>
  <si>
    <t xml:space="preserve">All metrics have the label "rpdName" as "x:y" for the CLI configuration "cable rpd x:y" for chassisId x and slotId y or in CRD files as /ccap/chassis/slot/slot-number calculated as x*256 + y.  All metrics have the label  "rpdMacAddr" with the GCP DeviceMacAddress (TLV 50.19.4).  </t>
  </si>
  <si>
    <t>K_vRpdData_status</t>
  </si>
  <si>
    <t>enumeration { 
  offline=0 
  identify=1
  configure=2
  online=3
  identify_failed=4
  configure_failed=5
  discovered=6
  tcp_offline=7
}</t>
  </si>
  <si>
    <t>"status" label is the enumeration name.</t>
  </si>
  <si>
    <t>15sec</t>
  </si>
  <si>
    <t>K_vRpdData_Identification</t>
  </si>
  <si>
    <t>Value is always 0
"ptpState" is { 
    FreeRunning
    Acquiring 
    HoldoverOutOfSpec 
    HoldoverWithinSpec
    Synchronized 
}</t>
  </si>
  <si>
    <t xml:space="preserve">
Example: K_vRpdData_Identification{alias="-"assetId="-"bootRomVersion="42"currentSwVersion="1.5.0.0-3+auto23"description="EXOR"hwRevision="-"instance="10.1.17.43:8000"job="kube-pods"latitude="37.42130"location="Harmonic Inc 4300 N 1st St San Jose CA 95134"longitude="-121.9610"modelNumber="-"ptpState="Synchronized"rpdId="rpd1:0"rpdIpAddr="2011:1004:0068:0003:BCAF:EB22:99BA:B76E"rpdMacAddr="00:20:A3:24:42:1E"rpdName="mikes rpd"serialNumber="-"status="online"vendorId="1563"vendorName="Harmonic"}</t>
  </si>
  <si>
    <t>K_vRpdData_Capabilities</t>
  </si>
  <si>
    <t>value of ptpState enum
ptpState={
     FreeRunning        = 0
    Acquiring          = 1
    HoldoverOutOfSpec  = 2
    HoldoverWithinSpec = 3
    Synchronized       = 4}</t>
  </si>
  <si>
    <t>K_vRpdData_PtpResult</t>
  </si>
  <si>
    <t>Example: K_Virtual_UsRfPort{cluster="hvs-237",mdName="Md7:0/15.0",node="ap7-7-237-2",physIfName="Us3:0/0",pod="vcmts-cd-0-0",virtIfName="vUs7:0/15"}</t>
  </si>
  <si>
    <t>cops</t>
  </si>
  <si>
    <t>Example:
K_vRpdData_PtpResult{ptpState="Synchronized"rpdId="rpd1:0"rpdMacAddr="00:20:a3:24:42:1e"rpdName="mike2"} 4.0</t>
  </si>
  <si>
    <t>cops_GateSetSuccess</t>
  </si>
  <si>
    <t>csIpAddr</t>
  </si>
  <si>
    <t>&lt;TO BE ADDED&gt;</t>
  </si>
  <si>
    <t>cops_GateSetFailure</t>
  </si>
  <si>
    <t>cops_GateDeleteSuccess</t>
  </si>
  <si>
    <t>cops_GateDeleteFailure</t>
  </si>
  <si>
    <t>Reported by active vcmts-m pod. Global COPS protocol counters reported as Application Telemetry.
All  counters are reported as absolute values.</t>
  </si>
  <si>
    <t>cops_GateInformSuccess</t>
  </si>
  <si>
    <t>cops_GateInformFailure</t>
  </si>
  <si>
    <t>cops_Connect</t>
  </si>
  <si>
    <t>count of incoming TCP connections to COPS port</t>
  </si>
  <si>
    <t>cops_Open</t>
  </si>
  <si>
    <t>count of successful COPS Open</t>
  </si>
  <si>
    <t>cops_OpenFail</t>
  </si>
  <si>
    <t>count of failed COPS Open</t>
  </si>
  <si>
    <t>cops_Close</t>
  </si>
  <si>
    <t>count of COPS Close</t>
  </si>
  <si>
    <t>cops_Disconnect</t>
  </si>
  <si>
    <t>count of TCP disconnects</t>
  </si>
  <si>
    <t>cops_KeepAliveFailure</t>
  </si>
  <si>
    <t>count of COPS keep alive failures detected</t>
  </si>
  <si>
    <t>snmp_docsIfSignalQualityTable</t>
  </si>
  <si>
    <t>snmp_docsIfSigQSignalNoise</t>
  </si>
  <si>
    <t>Average Signal/Noise ratio in dB</t>
  </si>
  <si>
    <t>snmp_docsIfSigQExtUnerroreds</t>
  </si>
  <si>
    <t>Absolute count of unerrored FEC blocks received on this channel</t>
  </si>
  <si>
    <t>snmp_docsIfSigQExtCorrecteds</t>
  </si>
  <si>
    <t>Absolute count of corrected FEC blocks received on this channel</t>
  </si>
  <si>
    <t>snmp_docsIfSigQExtUncorrectables</t>
  </si>
  <si>
    <t>Absolute count of uncorrectable FEC blocks received on this channel</t>
  </si>
  <si>
    <t>Absolute counters of per-channel upstream FEC statistics reported by "vcmts-cd" pods with any active upstream channel. Each metric has the label  "ifName" of the form "usX:Y/Z/W.0"  to uniquely identify the  upstream logical channel configured with  "cable us-rf-port X:Y/Z us-phy-channel W  us-logical-channel 0". Only channels with "adminState up" are reported. All metrics are double-precision floating point so Counters have the correct magnitude for a 64-bit integer but only 56 bits of integer precision.</t>
  </si>
  <si>
    <t>Computed as the numerical average of each CM's K_CmUsPerf_SignalNoise for this channel i.e. its last ranging response SNR.</t>
  </si>
  <si>
    <t>snmp_docsQosServiceFlow</t>
  </si>
  <si>
    <t>snmp_docsQosServiceFlowOctets</t>
  </si>
  <si>
    <t>snmp_docsQosServiceFlowPkts</t>
  </si>
  <si>
    <t>snmp_DsOfdm</t>
  </si>
  <si>
    <t>profileName= "A" "B" etc correspondnig to profileId 0 1 etc.
modulationId= decimal value of SNMP  DsOfdmModulationType enumeration e.g. "10" for qam2048(10)
modulationName= enumeration name of DsOfdmModulationType e.g. "qam2048" for qam2048(10)
subcFirst= decimal of first subcarrier index in the range e.g. "148"
subcLast= decimal of the last subcarrier index in the range e.g. "3947"</t>
  </si>
  <si>
    <t>snmp_DsOdfm_FullChannelSpeed</t>
  </si>
  <si>
    <t>Value matches mib object docsIf31CmtsDsOfdmProfileStatsFullChannelSpeed: "..speed of the associated channel in bps if this were the only profile and 100% of data-capable subcarriers were utilized to transmit MAC frames in full codewords"</t>
  </si>
  <si>
    <t>Absolute count of octets passed by identified service flow.</t>
  </si>
  <si>
    <t>snmp_DsOfdm_Subcarrier_Status</t>
  </si>
  <si>
    <t>Value is 0.  Labels describe the common modulation of a contiguous range  OFDM subcarriers.</t>
  </si>
  <si>
    <t>Absolute count of packets passed by the identified service flow (CBLOS-24939)</t>
  </si>
  <si>
    <t>snmp_DsOfdm_OutMulticastOctets</t>
  </si>
  <si>
    <t>Value matches mib object docsIf31CmtsDsOfdmProfileStatsOutMulticastOctets.</t>
  </si>
  <si>
    <t>snmp_DsOfdm_OutOctets</t>
  </si>
  <si>
    <t xml:space="preserve">Value matches mib object docsIf31CmtsDsOfdmProfileStatsOutOctets. </t>
  </si>
  <si>
    <t xml:space="preserve">Reports value of certain per-channel per-profile  DOCSI-IF3-MIB objects for downstream OFDM channels. Common labels for all metrics include:
  mdName= MdX:Y/Z.0  for mac domain
  rpdName=  Name of RPD
  ifName= OfX:Y/Z/W  for rpd X:Y ds-rf-port Z ofdm-channel Wx
  profileId="0" for ofdm-profile A "1" for B etc.
See also "K_Ofdm_*" metrics. </t>
  </si>
  <si>
    <t>snmp_if</t>
  </si>
  <si>
    <t>This group of metrics report absolute counters for mac-domain interfaces.  In all cases, the "ifName=" label matches the "mdName=" label</t>
  </si>
  <si>
    <t>snmp_ifInBcastPkts</t>
  </si>
  <si>
    <t xml:space="preserve">Absolute count of  input layer 2  broadcast  packets received correctly from  any upstream channel or bonding group of the mac domain. </t>
  </si>
  <si>
    <t>snmp_ifInDiscards</t>
  </si>
  <si>
    <t xml:space="preserve">Absolute count of input packets dropped due to internal reasons (e.g. lack of buffers) when received from any upstream channel or bonding group of the  mac domain. </t>
  </si>
  <si>
    <t>snmp_ifInErrors</t>
  </si>
  <si>
    <t xml:space="preserve">Absolute count of input packets dropped due to external reasons (e.g.  invalid packet format) when received from any upstream channel or bonding group of the  mac domain. </t>
  </si>
  <si>
    <t>snmp_ifInMcastPkts</t>
  </si>
  <si>
    <t xml:space="preserve">Absolute count of  input layer 2 multicast packets received correctly  from any upstream channel or bonding group of the  mac domain. </t>
  </si>
  <si>
    <t>snmp_ifInOctets</t>
  </si>
  <si>
    <t>Absolute count of octets forwarded successfully by the data path for input packets from any upstream channel or bonding group of the mac-domain.</t>
  </si>
  <si>
    <t>snmp_ifInUcastPkts</t>
  </si>
  <si>
    <t xml:space="preserve">Absolute count of  input layer 2 unicastd packets received correctly  from any upstream channel or bonding group of the  mac domain. </t>
  </si>
  <si>
    <t>snmp_ifInUnknownProtos</t>
  </si>
  <si>
    <t xml:space="preserve">Absolute count of  input  packets discarded due to an unknown Ethernet protocol ID  when received from any upstream channel or bonding group of the  mac domain. </t>
  </si>
  <si>
    <t>snmp_ifOutBcastPkts</t>
  </si>
  <si>
    <t>Absolute count of output layer 2 broadcast packets transmitted on any downstream channel or bonding group of the mac domain.</t>
  </si>
  <si>
    <t>snmp_ifOutDiscards</t>
  </si>
  <si>
    <t xml:space="preserve">Absolute count of output  packets intended for downstream transmission on the mac domain that were discarded due to an internal reason (e.g. no buffers). </t>
  </si>
  <si>
    <t>snmp_ifOutErrors</t>
  </si>
  <si>
    <t xml:space="preserve">Absolute count of output  packets intended for downstream transmission on the mac domain that were discarded due to an external reason (e.g. invalid vlan ID). </t>
  </si>
  <si>
    <t>snmp_ifOutMcastPkts</t>
  </si>
  <si>
    <t>Absolute count of output layer 2 multicast packets transmitted  on any downstream channel or  bonding group of the mac domain.</t>
  </si>
  <si>
    <t>snmp_ifOutOctets</t>
  </si>
  <si>
    <t xml:space="preserve">Abolute count of output octets forwarded successfully by the data path on any downstream channel or bonding group of the mac domain. </t>
  </si>
  <si>
    <t>snmp_out_UcastPkts</t>
  </si>
  <si>
    <t xml:space="preserve">Absolute count  of outpu layer 2 unicast packets transmitted on downstream channel or bonding group of the mac domain. </t>
  </si>
  <si>
    <t>snmp_UsOfdma_DataIuc</t>
  </si>
  <si>
    <t>snmp_UsOfdma_DataIuc_TotalCodewords</t>
  </si>
  <si>
    <t>MIB value docsIf31CmtsUsOfdmaDataIucStatsTotalCodewords                                                                                                                                                                                                                                                  with absolute count of per-channel per-IUC total FEC codewords including good corrected and uncorrected counts.</t>
  </si>
  <si>
    <t>snmp_UsOfdma_DataIuc_CorrectedCodewords</t>
  </si>
  <si>
    <t>MIB value docsIf31CmtsUsOfdmaDataIucStatsCorrectedlCodewords                                                                                                                                                                                                                                                  with absolute count of per-channel per-IUC corrected FEC codewords</t>
  </si>
  <si>
    <t>snmp_UsOfdma_DataIuc_UnreliablelCodewords</t>
  </si>
  <si>
    <t>MIB value docsIf31CmtsUsOfdmaDataIucStatsTotalCodewords                                                                                                                                                                                                                                                  with absolute count of per-channel per-IUC unreliable (i.e. bad) codewords</t>
  </si>
  <si>
    <t>snmp_UsOfdma_DataIuc_InOctets</t>
  </si>
  <si>
    <t>MIB value docsIf31CmtsUsOfdmaDataIucStatsInOctets                                                                                                                                                                   with absolute count of per-channel per-IUC input octets</t>
  </si>
  <si>
    <t xml:space="preserve">Per-OFDMA channel  information for  scheduled data IUCs.  </t>
  </si>
  <si>
    <t>snmp_UsOfdma_DataIuc_AssignedCmCt</t>
  </si>
  <si>
    <t>MIB value docsIf31CmtsUsOfdmaDataIucStatsAssignedCmCt                                                                                                                                                                                                                                            with absolute count of CMs assigned to use the data IUC on the channel</t>
  </si>
  <si>
    <t>snmp_UsOfdma_Profile</t>
  </si>
  <si>
    <t>Based on DOCS-IF31-MIB  docsIf31CmtsCmUsOfdmaProfileStatusTable</t>
  </si>
  <si>
    <t xml:space="preserve">snmp_UsOfdma_Profile_BitLoading </t>
  </si>
  <si>
    <r>
      <t xml:space="preserve">Average pre-FEC  data bits per sub-carrier symbol  in all data minislots.  </t>
    </r>
    <r>
      <rPr>
        <sz val="11"/>
        <rFont val="Calibri"/>
        <family val="2"/>
      </rPr>
      <t xml:space="preserve">Reported for currently active dataIuc only.  Note that FEC counters for per-CM, per-dataIUC are reported in K_CmUsPerf_* metrics. </t>
    </r>
  </si>
  <si>
    <t>telemD</t>
  </si>
  <si>
    <t xml:space="preserve">Added with telemd:1.1-86 delivered to trunk 16-Sep-2018. 
host=  IP host address to which Telemd sends the thrift PushMetrics call
thriftPort=  port to which Telemd sends the thrift PushMetrics call
regex=  Regular expression of the metrics pushed.  
Note that scraped (or pulled) metrics omit the pushed metrics unless the query includes the parameter ?nopush=true.
app= thrift service name of the application e.g. "MulpiTelemdSvc". 
Regex= Regular expression of metrics requested from that application.
client= IP source address of the HTTP GET received by Telemd.  Note that for the "monitoringprobe" pod scrape since MP uses a node IP address K8s maps the source to the internal  Flannel gateway  address for the receiving pod e.g. 10.1.82.1  for a vcmts-cd pod with flannel IP address 10.1.82.167.  </t>
  </si>
  <si>
    <t>telemd_app_getMetrics</t>
  </si>
  <si>
    <t>app=
regex=</t>
  </si>
  <si>
    <t xml:space="preserve">Seconds of a GetMetrics() call to a particular application. </t>
  </si>
  <si>
    <t>telemd_getMetrics_duration</t>
  </si>
  <si>
    <t>regex=</t>
  </si>
  <si>
    <t>Seconds that the set of "GetMetrics" calls to all  applications required.</t>
  </si>
  <si>
    <t xml:space="preserve">The metric value is less than the full bitloading of a modulation (e.g. 8 for qam256) due to subtraction of pilot subcarrier symbols. </t>
  </si>
  <si>
    <t>telemd_metrics</t>
  </si>
  <si>
    <t>Count of metric instances in Telemd (i.e. series)</t>
  </si>
  <si>
    <t>telemd_pushMetrics_duration</t>
  </si>
  <si>
    <t>host=
thriftPort=
regex=</t>
  </si>
  <si>
    <t>Seconds that a PushMetrics() call consumed in Telemd.</t>
  </si>
  <si>
    <t>Metrics reported by the TelemD module itself</t>
  </si>
  <si>
    <t>telemd_responseTime</t>
  </si>
  <si>
    <t>client</t>
  </si>
  <si>
    <t>Seconds from the HTTP GET request to completion of sending the response for the latest scrape.</t>
  </si>
  <si>
    <t>telemd_version</t>
  </si>
  <si>
    <t>package_version=</t>
  </si>
  <si>
    <t>Label "regex" is the regular expression used to query the applications.</t>
  </si>
  <si>
    <t>vcmts_release</t>
  </si>
  <si>
    <t>vcmts_release=</t>
  </si>
  <si>
    <t>vRpd Metrics</t>
  </si>
  <si>
    <t>vRpd_CpuLoad_perfCpu</t>
  </si>
  <si>
    <t>index=
name=
rpdId=
rpdIpAddr=
rpdName=
rpdMacAddr=</t>
  </si>
  <si>
    <t xml:space="preserve">centi-seconds consumed by SW process identified by "name=". GCP TLV 100.23 "HostResourcesSwRun". </t>
  </si>
  <si>
    <t>"package_version" gives the Debian package vesion of the "python-telemd" mackage</t>
  </si>
  <si>
    <t>vRpd_DsOfdmChannelPerf_operStatus</t>
  </si>
  <si>
    <t>channelIndex
channelType
ifName=
rfPortIndex=
rpdId=
rpdIpAddr=
rpdName=
rpdMacAddr=</t>
  </si>
  <si>
    <t>Operational status of downstream OFDM channel.  0-down, 1-up.
GCP TLV 73.7 "operStatusDsOfdm"</t>
  </si>
  <si>
    <t xml:space="preserve">"vcmts_release" label is the VCMTS release number  built containing  the pod that contains the reporting telemd container.  Both telemd-m and telemd-cd report "vcmts_release". </t>
  </si>
  <si>
    <t>vRpd_DsOfdmChannelPerf_outDiscards</t>
  </si>
  <si>
    <t>The number of outbound downstream OFDM packets which were internally discarded before physical transmission, e.g. due to lack of buffering. GCP TLV 73.1.</t>
  </si>
  <si>
    <t>vRpd_DsOfdmChannelPerf_outErrors</t>
  </si>
  <si>
    <t>The number of outbound downstream OFDM packets which could not be transmitted due to physical transmission errors.  GCP TLV 73.2.</t>
  </si>
  <si>
    <t>The vRpd* metrics are reported by vcmts-m based on nominal once-per-minute GCP polls to each connected RPD.
Unless indicated otherwise in the description, all vRpd metric names are of the  form vRpd_&lt;container&gt;_&lt;leaf&gt; for GCP containers and leaf names in the R-OSSI or R-PHY specifications. For example, "vRpd_DsOfdmChannelPerf_operStatus" corresponds to GCP TLV 73.7 for container "DsOfdmChannelPerf" with GCP top-level type  73 and leaf "operStatus" GCP type 7 within that container. 
All metrics hav at least the following metrics :
  rpdId=             "X:Y" of configured virtual chassis X virtual slot Y.  In CRD's slot-number is X*256+Y
  rpIp=               RPD IP address
  rpdName=       configured RPD name
  rpdMacAddr=  RPD MAC Address
Metrics associated with an RF channel add the following labels:
  channelIndex=  RPD 0-based channel index
  channelType= { "dsOfdm" | dsScQam" | "usAtdma" | "usOfdma" "dsScte55d1" | "usScte55d1" | "ndr" | "ndf" }
  ifName= VCMTS core interface name 
  rfPortIndex=  RPD 0-based DS or US RF port index
Ethernet port metrics add the label:
  endPortIndex=  PRD 0-based ethernet port index
*IucStats" metrics add the label:
  iuc= interval usage code</t>
  </si>
  <si>
    <t>vRpd_DsOfdmChannelPerf_outPackets</t>
  </si>
  <si>
    <t>Count of packets transmitted on downstream OFDM channel. GCP TLV 73.4.</t>
  </si>
  <si>
    <t>index=  index of CPU resource
name= Software process name, one of 
"Idle"
"Kernel mode"
"Niced, user mode"
"Normal, user mode"
"Servicing HW interrupts"
"Servicing SW interrupts"
"Waiting for I/O complete"</t>
  </si>
  <si>
    <t>vRpd_DsOfdmChannelPerf_PlcFrameTimeAlignment</t>
  </si>
  <si>
    <t>64-bit counter inserted into the most recent PLC frame of a downstream OFDM channnel. GCP TLV 73.8.</t>
  </si>
  <si>
    <t>channelType="dsOfdm"</t>
  </si>
  <si>
    <t>vRpd_DsOfdmPlcPerf_outDiscards</t>
  </si>
  <si>
    <t>Count of outbound packets on an OFDM PLC channel that were internally discarded before physical transmission. GCP TLV 73.6.1.</t>
  </si>
  <si>
    <t>vRpd_DsOfdmPlcPerf_outErrors</t>
  </si>
  <si>
    <t>The number of outbound downstream OFDM PLC  packets which could not be transmitted due to physical transmission errors.  GCP TLV 73.6.2.</t>
  </si>
  <si>
    <t>vRpd_DsOfdmPlcPerf_outPackets</t>
  </si>
  <si>
    <t>Count of packets transmitted on downstream OFDM PLC channel. GCP TLV 73.6.3.</t>
  </si>
  <si>
    <t>vRpd_DsOfdmProfilePerf_outCodewords</t>
  </si>
  <si>
    <t>channelIndex
channelType
ifName=
ofdmProfileId=
rfPortIndex=
rpdId=
rpdIpAddr=
rpdName=
rpdMacAddr=</t>
  </si>
  <si>
    <t>Count of codewords for the profile transmitted on an  OFDM channel.  GCL TLV 73.3.2.</t>
  </si>
  <si>
    <t>vRpd_DsOob551Perf_outDiscards</t>
  </si>
  <si>
    <t>channelIndex=
channelType=
ifName=
rfPortIndex=
rpdId=
rpdIpAddr=
rpdName=
rpdMacAddr=</t>
  </si>
  <si>
    <t>The number of outbound downstream OOB SCTE 55.1 packets which were internally discarded before physical transmission, e.g. due to lack of buffering. GCP TLV 74.1.</t>
  </si>
  <si>
    <t>vRpd_DsOob551Perf_outErrors</t>
  </si>
  <si>
    <t>The number of outbound downstream OOB SCTE 55.1 packets which could not be transmitted due to physical transmission errors.  GCP TLV 74.2.</t>
  </si>
  <si>
    <t>vRpd_DsOob551Perf_outPackets</t>
  </si>
  <si>
    <t>Count of packets transmitted on downstream OOB SCTE 55.1 channel.  GCP TLV 74.3.</t>
  </si>
  <si>
    <t>vRpd_DsScQamChannelPerf_outDiscards</t>
  </si>
  <si>
    <t xml:space="preserve">The number of outbound downstream SCQAM channel packets which were internally discarded before physical transmission, e.g. due to lack of buffering. GCP TLV 72.1. </t>
  </si>
  <si>
    <t>ofdmProfileId = 0-based configured OFDM profile ID
channelType="dsOfdm"</t>
  </si>
  <si>
    <t>vRpd_DsScQamChannelPerf_outErrors</t>
  </si>
  <si>
    <t>The number of outbound downstream SCQAM channel packets which could not be transmitted due to physical transmission errors.  GCP TLV 72.2.</t>
  </si>
  <si>
    <t>channelType= "dsScte55d1"</t>
  </si>
  <si>
    <t>vRpd_DsScQamChannelPerf_outPackets</t>
  </si>
  <si>
    <t>Count of packets transmitted on downstream ScQam channel. GCP TLV 72.3.</t>
  </si>
  <si>
    <t>vRpd_IfEnetStats_InBroadcastFrames</t>
  </si>
  <si>
    <t>enetPortIndex=
rpdId=
rpdIpAddr=
rpdName=
rpdMacAddr=</t>
  </si>
  <si>
    <t>Count of all Ethernet broadcast frames received by the RPD on the indicated Ethernet port. GCP TLV 100.9.9.</t>
  </si>
  <si>
    <t>vRpd_IfEnetStats_InMulticastFrames</t>
  </si>
  <si>
    <t>Count of all Ethernet multicast frames received by the RPD on the indicated Ethernet port. GCP TLV 100.9.8</t>
  </si>
  <si>
    <t>channelType="dsScQam"</t>
  </si>
  <si>
    <t>vRpd_IfEnetStats_InOctets</t>
  </si>
  <si>
    <t>Count of all bytes received by the RPD on the indcated Ethernet port. GCP TLV 100.9.2.</t>
  </si>
  <si>
    <t>vRpd_IfEnetStats_InUnicastFrames</t>
  </si>
  <si>
    <t>Count of Ethernet unicast frames received by the RPD on the indicated Ethernet port. GCP TLV 100.9.7.</t>
  </si>
  <si>
    <t>vRpd_IfEnetStats_OutBroadcastFrames</t>
  </si>
  <si>
    <t>Count of Ethernet broadcast frames transmitted by the RPD on the indicated Ethernet port. GCP TLV 100.9.20</t>
  </si>
  <si>
    <t>vRpd_IfEnetStats_OutMulticastFrames</t>
  </si>
  <si>
    <t>Count of Ethernet multicast  frames transmitted by the RPD on the indicated Ethernet port. GCP TLV 100.9.19</t>
  </si>
  <si>
    <t>vRpd_IfEnetStats_OutOctets</t>
  </si>
  <si>
    <t>Count of Ethernet octets transmitted by the RPD on the indicated Ethernet port. GCP TLV 100.9.13</t>
  </si>
  <si>
    <t>vRpd_IfEnetStats_OutUnicastFrames</t>
  </si>
  <si>
    <t>Count of Ethernet unicast frames transmitted by the RPD on the indicated Ethernet port. GCP TLV 100.9.18</t>
  </si>
  <si>
    <t>vRpd_L2tpSessionInfo_CounterDiscontinuityTime</t>
  </si>
  <si>
    <t>ccapLcceIpAddress=
l2tpSessionId=
rpdId=
rpdIpAddr=
rpdLcceIpAddr=
rpdMacAddr=
rpdName=</t>
  </si>
  <si>
    <t xml:space="preserve">	
Reports the date and time at which any one or more of the counters in this group were created or last reset to zero.</t>
  </si>
  <si>
    <t>vRpd_L2tpSessionInfo_InDiscards</t>
  </si>
  <si>
    <t>Number of received packets discarded by the L2TPv3 protocol layer itself, including those discarded because they were out of sequence. GCP TLV 100.2.21.3</t>
  </si>
  <si>
    <t>vRpd_L2tpSessionInfo_InPackets</t>
  </si>
  <si>
    <t>Number of received packets accepted for processing above the L2TPv3 protocol layer. Excludes packets dropped by the L2TPv3 protocol layer itself. GCP TLV 100.2.21.2</t>
  </si>
  <si>
    <t>vRpd_L2tpSessionInfo_OutErrors</t>
  </si>
  <si>
    <t>Number of packets attempted to be transmitted from above the L2TPv3 protocol layer that could not be transmitted below the L2TPv3 protocol layer itself. GCP TLV 100.2.21.5</t>
  </si>
  <si>
    <t>vRpd_L2tpSessionInfo_OutOfSequencePackets</t>
  </si>
  <si>
    <t>Count of session packets that were received out of sequence. GCP TLV 100.2.21.1</t>
  </si>
  <si>
    <t>vRpd_L2tpSessionInfo_OutPackets</t>
  </si>
  <si>
    <t>Number of packets conceptually attempted to be transmitted from above the L2TPv3 protocol layer. Counts packets discarded by the L2TPv3 protocol layer itself. GCP TLV 100.2.21.4</t>
  </si>
  <si>
    <t>vRpd_RpdSysUptime</t>
  </si>
  <si>
    <t>rpdId=
rpdIpAddr=
rpdName=
rpdMacAddr=</t>
  </si>
  <si>
    <t>Count of centiseconds (hundredths of a second) RPD has been up. TLV 100.1.1 RpdSysUpTime</t>
  </si>
  <si>
    <t>vRpd_Sensors_value</t>
  </si>
  <si>
    <r>
      <t xml:space="preserve">entityIndex=
rpdId=
rpdIpAddr=
rpdName=
rpdMacAddr=
scale=
sensortType=
unitsDisplay=
</t>
    </r>
    <r>
      <rPr>
        <sz val="11"/>
        <color rgb="FFFF0000"/>
        <rFont val="Calibri"/>
        <family val="2"/>
      </rPr>
      <t>sensorName=</t>
    </r>
  </si>
  <si>
    <t xml:space="preserve">Value of one sensor from the RPD EntitySensorMib as regularly polled by Core reading GCP TLV 100.7. Nominal poll interval is 60 seconds. </t>
  </si>
  <si>
    <t>For Harmonic RPDs, sensorName= sensor name as specified in the "RPD Sensors" page.  
For non-Harmonic RPDs, sensorName= "sensorNN"  for sensor number NN</t>
  </si>
  <si>
    <t>vRpd_UsScChanHiIucStats_CorrectedFecCw</t>
  </si>
  <si>
    <t>channelIndex=
channelType=
ifName=
iuc=
rfPortIndex=
rpdId=
rpdIpAddr=
rpdName=
rpdMacAddr=</t>
  </si>
  <si>
    <t>Per-channel, per-IUC count of Good FEC codewords.for IUCs 4, 5, 6, 9, 10 and 11.  GCP TLV 78.2.7</t>
  </si>
  <si>
    <t>vRpd_UsScChanHiIucStats_ErrorBursts</t>
  </si>
  <si>
    <t>Per-channel, per-IUC count of errors other than 'NoEnergy' or "NoPreamble" for IUCs 4, 5, 6, 9, 10 and 11.  GCP TLV 78.2.</t>
  </si>
  <si>
    <t>vRpd_UsScChanHiIucStats_GoodFecCw</t>
  </si>
  <si>
    <t>Per-channel, per-IUC count of Good FEC codewords.for IUCs 4, 5, 6, 9, 10 and 11.  GCP TLV 78.2.6</t>
  </si>
  <si>
    <t>vRpd_UsScChanHiIucStats_NoEnergyBursts</t>
  </si>
  <si>
    <t>Per-channel, per-IUC count of intervals with no energy .for IUCs 4, 5, 6, 9, 10 and 11.  GCP TLV 78.2.3</t>
  </si>
  <si>
    <t xml:space="preserve">This object is based on  ENTITY-SENSOR-MIB from RFC3422.
scale =  {        yocto(1),   -- 10^-24,  zepto(2),   -- 10^-21,  atto(3),    -- 10^-18,  femto(4),   -- 10^-15, pico(5),    -- 10^-12,  nano(6),    -- 10^-9, micro(7),   -- 10^-6, milli(8),   -- 10^-3, units(9),   -- 10^0,  kilo(10),   -- 10^3, mega(11),   -- 10^6, giga(12),   -- 10^9, tera(13),   -- 10^12, exa(14),    -- 10^15, peta(15),   -- 10^18, zetta(16),  -- 10^21, yotta(17)   -- 10^24 
}
sensorType = {  other(1), unknown(2), voltsAC(3), voltsDC(4), amperes(5), watts(6), hertz(7), celsius(8), percentRH(9), rpm(10), cmm(11), truthvalue(12)
}
unitsDisplay= text string for units of reported value.  For example, scale=milli(8) and sensorType=voltsDC(4) has units of "mV". 
entityIndex identifies the particular sensor.  Unfortunately, the Harmonic RPD and core do not yet support reading GCP table 100.6 to report  entPhysicalDescr for an entityIndex. This feature is requested in CBLOS-48123).  For the Harmonic RPD sensor entityIndex values,  the "RPD Sensors" page of this spreadsheet. </t>
  </si>
  <si>
    <t>vRpd_UsScChanHiIucStats_NoPreambleBursts</t>
  </si>
  <si>
    <t>Count of No PREAMBLE codewords. GCP TLV 78.2.6</t>
  </si>
  <si>
    <t>(Note 1, below)</t>
  </si>
  <si>
    <t>vRpd_UsScChanHiIucStats_ScheduledGrants</t>
  </si>
  <si>
    <t>Count of Scheduled SCHEDULED codewords. GCP TLV 78.2.6</t>
  </si>
  <si>
    <t>vRpd_UsScChanHiIucStats_UncorrectFecCw</t>
  </si>
  <si>
    <t>Count of Uncorrect FEC codewords. GCP TLV 78.2.6</t>
  </si>
  <si>
    <t>vRpd_UsScChanLowIucStats_CorrectedFecCw</t>
  </si>
  <si>
    <t>Count of Corrected FEC codewords for IUCs 1,2,3.  GCP TLV 78.1.11</t>
  </si>
  <si>
    <t>vRpd_UsScChanLowIucStats_GoodFecCw</t>
  </si>
  <si>
    <t>Count of Good FEC codewords for IUCs 1,2,3. GCP TLV 78.1.10</t>
  </si>
  <si>
    <t>vRpd_UsScChanLowIucStats_McastOpCollisions</t>
  </si>
  <si>
    <t>Count of upstream multicast transmit opportunity collisions for IUCs 1,2,3. GCP TLV 78.1.7</t>
  </si>
  <si>
    <t>vRpd_UsScChanLowIucStats_McastOpErrors</t>
  </si>
  <si>
    <t>Count of upstream multicast transmit opportunity PHY errors for IUCs 1,2,3. GCP TLV 78.1.9</t>
  </si>
  <si>
    <t>vRpd_UsScChanLowIucStats_McastOpNoEnergy</t>
  </si>
  <si>
    <t>Count of upstream multicast transmit opportunity with no energy for IUCs 1,2,3. GCP TLV 78.1.8</t>
  </si>
  <si>
    <t>vRpd_UsScChanLowIucStats_MulticastOpportunities</t>
  </si>
  <si>
    <t>Count of multicast transmission opportunities for the indicated IUC 1,2,3. Multicast opportunities  are counted for SIDs in range 00x3e00 - 0x3fff. GCP TLV 78.1.6</t>
  </si>
  <si>
    <t>vRpd_UsScChanLowIucStats_UncorrectFecCw</t>
  </si>
  <si>
    <t>Count of Uncorrected FEC codewords for IUCS 1,2.3.  GCP TLV 78.1.12</t>
  </si>
  <si>
    <t>vRpd_UsScChanLowIucStats_UnicastOpCollisions</t>
  </si>
  <si>
    <t>Count of unicast transmit opportunities with collision for IUCs 1,2,3. GCP TLV 78.1.3</t>
  </si>
  <si>
    <t>vRpd_UsScChanLowIucStats_UnicastOpErrors</t>
  </si>
  <si>
    <t>Count of unicast transmit opportunities with PHY error for IUCs 1,2,3. GCP TLV 78.1.5</t>
  </si>
  <si>
    <t>vRpd_UsScChanLowIucStats_UnicastOpNoEnergy</t>
  </si>
  <si>
    <t>Count of unicast transmit opportunities with no energy  for IUCs 1,2,3. GCP TLV 78.1.4</t>
  </si>
  <si>
    <t>vRpd_UsScChanLowIucStats_UnicastOpportunities</t>
  </si>
  <si>
    <t>Count of unicast transmit opportunities   for IUCs 1,2,3. Unicast opportunities are counted for SIDs in range 0x0001-0x3dff. GCP TLV 78.1.4</t>
  </si>
  <si>
    <t>vRpd_UsScQamChannelPerf_ChannelSnr</t>
  </si>
  <si>
    <t>Average SNR for the indicated upream channel in units of TenthdB.  GCP TLV  78.7</t>
  </si>
  <si>
    <t>vRpd_UsScQamChannelPerf_DiscardedRequests</t>
  </si>
  <si>
    <t>Counter of discarded upstream requests on the indicated upstream channel.  GCP TLV  78.6</t>
  </si>
  <si>
    <t>vRpd_UsScQamChannelPerf_HcsErrors</t>
  </si>
  <si>
    <t>Counter of Header Check Sum errors for the indicated upstream channel. GCP TLV 78.3</t>
  </si>
  <si>
    <t>vRpd_UsScQamChannelPerf_IllegalMaps</t>
  </si>
  <si>
    <t>Counter of detected illegal maps (other than late maps) for the indicated upstream channel. GCP TLV 78.5</t>
  </si>
  <si>
    <t>vRpd_UsScQamChannelPerf_LateMaps</t>
  </si>
  <si>
    <t>Counter of detected late maps for the indicated upstream channel. GCP TLV 78.4</t>
  </si>
  <si>
    <t>vRpd_UsScQamChannelPerf_operStatusUsScQam</t>
  </si>
  <si>
    <t>Operational status of the indicarted upstream channel. Value is up(1) or  down(2). GCP TLV 78.9</t>
  </si>
  <si>
    <t>Not yet implemented (CBLOS-48170 pending)</t>
  </si>
  <si>
    <t>NOTES:</t>
  </si>
  <si>
    <t>Note 1: Harmonic RPDs currently report IUC stats based on clear-on-read operations to RPD chips, and so are cleared nominally every minute.</t>
  </si>
  <si>
    <t>MULPI Application Telemetry</t>
  </si>
  <si>
    <t xml:space="preserve">See "Service Telemetry" page for version information. </t>
  </si>
  <si>
    <t>Group</t>
  </si>
  <si>
    <t xml:space="preserve">
Metric Type</t>
  </si>
  <si>
    <t>Severity</t>
  </si>
  <si>
    <t>Value</t>
  </si>
  <si>
    <t>General</t>
  </si>
  <si>
    <t>mulpi_Version</t>
  </si>
  <si>
    <t>version=</t>
  </si>
  <si>
    <t>INFO</t>
  </si>
  <si>
    <t>Value is always 0</t>
  </si>
  <si>
    <t>"version" label is the Debian version for the package "ulcmulpid". Reported by all "mulpi" container instances.</t>
  </si>
  <si>
    <t xml:space="preserve">CmFlap </t>
  </si>
  <si>
    <t>Per-CM counts of "flap" events, typically due to a physical layer problem.</t>
  </si>
  <si>
    <t>mulpi_CmFlap_ReInserts</t>
  </si>
  <si>
    <t xml:space="preserve">Count of a "re-insertion" init-ranging before completing registration. </t>
  </si>
  <si>
    <t>mulpi_CmFlap_ForcedFlaps</t>
  </si>
  <si>
    <t>Count of forced resets of CM</t>
  </si>
  <si>
    <t>mulpi_CmFlap_InitialFlaps</t>
  </si>
  <si>
    <t>Count of initial ranging requests  from CM</t>
  </si>
  <si>
    <t>mulpi_CmFlap_RangeFlaps</t>
  </si>
  <si>
    <t>Count of CM deregistration due to its last available upstream  channel having T4 ranging timeouts</t>
  </si>
  <si>
    <t>mulpi_CmFlap_Hits</t>
  </si>
  <si>
    <t>Count of scheduled station maintance requests received from CM.</t>
  </si>
  <si>
    <t>mulpi_CmFlap_Misses</t>
  </si>
  <si>
    <t>Count of station maintenance requests not received for a scheduled opportunity.</t>
  </si>
  <si>
    <t>mulpi_CmFlap_PowerAdjusts</t>
  </si>
  <si>
    <t>Count of nonzero power adjustments sent to CM in a range response</t>
  </si>
  <si>
    <t>mulpi_CmFlap_TimeAdjusts</t>
  </si>
  <si>
    <t>Count of nonzero timing adjusts sent to CM in a range response.</t>
  </si>
  <si>
    <t>CmInit Group</t>
  </si>
  <si>
    <t>Each metric is a counter for one of the values CM Initialization Reason (TLV 57) as reported in a Registration Request message. Reported only by the active MULPI instance for a mac domain.</t>
  </si>
  <si>
    <t>mulpi_CmInit_PowerOn</t>
  </si>
  <si>
    <t>CM registered reporting its init reason as POWER_ON(1)</t>
  </si>
  <si>
    <t>mulpi_CmInit_T17LostSync</t>
  </si>
  <si>
    <t>WARN</t>
  </si>
  <si>
    <t>CM registered reporting its init reason T17_LOST_SYNC(2)</t>
  </si>
  <si>
    <t>mulpi_CmInit_AllUsFailed</t>
  </si>
  <si>
    <t>CM registered reporting its init reason as All_US_FAILED(3)</t>
  </si>
  <si>
    <t>mulpi_CmInit_BadDhcpAck</t>
  </si>
  <si>
    <t>CM registered reporting its init reason as BAD_DHCP_ACK(4)</t>
  </si>
  <si>
    <t>mulpi_CmInit_LinkLocalAddressInUse</t>
  </si>
  <si>
    <t>CM registered reporting its init reason as LINK_LOCAL_ADDRESS_IN_USE(5)</t>
  </si>
  <si>
    <t>mulpi_CmInit_MaxT6NoRegRspTimeouts</t>
  </si>
  <si>
    <t>CM registered reporting its init reason as MAX_T6_NO_REG_RSP_TIMEOUTS(6)</t>
  </si>
  <si>
    <t>mulpi_CmInit_RegRspNotOk</t>
  </si>
  <si>
    <t>CM registered reporting its init reason as REG_RSP_NOT_OK(7)</t>
  </si>
  <si>
    <t>mulpi_CmInit_BadRccTcc</t>
  </si>
  <si>
    <t>CM registered reporting its init reason as BAD_RCC_TCC(8)</t>
  </si>
  <si>
    <t>mulpi_CmInit_FailedPrimDs</t>
  </si>
  <si>
    <t>CM registered reporting its init reason as FAILED_PRIM_DS(9)</t>
  </si>
  <si>
    <t>mulpi_CmInit_TcsFailedOnAllUs</t>
  </si>
  <si>
    <t>CM registered reporting its init reason as TCS_FAILED_ON_ALL_US(10)</t>
  </si>
  <si>
    <t>mulpi_CmInit_MtcmChange</t>
  </si>
  <si>
    <t>CM registered reporting its init reason as MTCM_CHANGE(15)</t>
  </si>
  <si>
    <t>mulpi_CmInit_T4Expired</t>
  </si>
  <si>
    <t>CM registered reporting its init reason as T4_EXPIRED(16)</t>
  </si>
  <si>
    <t>mulpi_CmInit_NoPrimSfUsChan</t>
  </si>
  <si>
    <t>CM registered reporting its init reason as NO_PRIM_SF_US_CHAN(17)</t>
  </si>
  <si>
    <t>mulpi_CmInit_CmCtrlInit</t>
  </si>
  <si>
    <t>CM registered reporting its init reason as CM_CTRL_INIT(18)</t>
  </si>
  <si>
    <t>mulpi_CmInit_DynamicRangeWindowViolation</t>
  </si>
  <si>
    <t>CM registered reporting its init reason as DYNAMIC_RANGE_WINDOW_VIOLATION(19)</t>
  </si>
  <si>
    <t>mulpi_CmInit_IpProvModeOverride</t>
  </si>
  <si>
    <t>CM registered reporting its init reason as IP_PROV_MODE_OVERRIDE(20)</t>
  </si>
  <si>
    <t>mulpi_CmInit_SwUpgradeReboot</t>
  </si>
  <si>
    <t>CM registered reporting its init reason as SW_UPGRADE_REBOOT(21)</t>
  </si>
  <si>
    <t>mulpi_CmInit_SnmpReset</t>
  </si>
  <si>
    <t>CM registered reporting its init reason as SNMP_RESET(22)</t>
  </si>
  <si>
    <t>mulpi_CmInit_RegRspMissingRcc</t>
  </si>
  <si>
    <t>CM registered reporting its init reason as REG_RSP_MISSING_RCC(23)</t>
  </si>
  <si>
    <t>mulpi_CmInit_RegRspMissingTcc</t>
  </si>
  <si>
    <t>CM registered reporting its init reason as REG_RSP_MISSING_TCC(24)</t>
  </si>
  <si>
    <t>mulpi_CmInit_RegRspMtcNotEnabled</t>
  </si>
  <si>
    <t>CM registered reporting its init reason as REG_RSP_MTC_NOT_ENABLED(25)</t>
  </si>
  <si>
    <t>mulpi_CmInit_DhcpV6BadReply</t>
  </si>
  <si>
    <t>CM registered reporting its init reason as DHCPv6_BAD_REPLY(26)</t>
  </si>
  <si>
    <t>mulpi_CmInit_UnknownReason</t>
  </si>
  <si>
    <t>CM registered reporting an unknown init reason code.</t>
  </si>
  <si>
    <t>CmReg</t>
  </si>
  <si>
    <t>mulpi_CmReg_MacStatus</t>
  </si>
  <si>
    <t>rpdName=
mdName=
fnName=
cmMacAddr=
isMicValid=
macStatus=</t>
  </si>
  <si>
    <t>SCM item "MAC Status".</t>
  </si>
  <si>
    <t xml:space="preserve">macStatus = label with ascii name of enumeration
 Supported values:
0: offline
1: init(r1)
2: init(r2)
3: init(rc)
4: init(d)
5: init(io)
6: init(a)
7: init(t)
8: init(o)
9: init(pk)
10: init6(s)
11: init6(a)
12: init6(r)
13: init6(i)
14: init6(t)
15: init6(o)
16: cc(r1)
17: cc(r2)
18: online
19: online(d)
20: online(pk)
21: online(pt)
22: expire(pk)
23: expire(pt)
24: reject(c)
25: reject(pk)
26: reject(m)
27: reject(na)
</t>
  </si>
  <si>
    <t>Errors</t>
  </si>
  <si>
    <t>mulpi_Errors_SmAborted</t>
  </si>
  <si>
    <t>rpdName=
mdName=
fnName=
cmMacAddr=</t>
  </si>
  <si>
    <t xml:space="preserve">SCM item "Stn Mtn Failures". Count of Station Maintainance aborted. </t>
  </si>
  <si>
    <t>mulpi_Errors_SmExhausted</t>
  </si>
  <si>
    <t xml:space="preserve">SCM item "Stn Mtn Failures". Count of Station Maintainance exhausted. </t>
  </si>
  <si>
    <t>LCCE</t>
  </si>
  <si>
    <t>Reports the reporting pod's knowledge of L2TP Control Connect Endpoints (LCCEs), corresponding to the shell debug command "ulc-debug mulpi ShowLccesTopology" (CBLOS-13365)</t>
  </si>
  <si>
    <t>mulpi_Lcce_State</t>
  </si>
  <si>
    <t>lcceId=
lcceIpv4Addr=
lcceIpv6Addr=
lcceState,
protected</t>
  </si>
  <si>
    <t>Integer representing LCCE State:
None(0), LccePromoted(1), LcceDemoted(2), Activation(3), DisableMacDomains(4), Deactivation(5), Promoted(6), ReplSync(7), UnsyncedActivation(8), Active(9), Standby(10)}</t>
  </si>
  <si>
    <t>This metric is provided to permit time-series graphing of the lcceState. Reports the status of LCCEs assigned to this MULPI instance
lcceId = Integer identifying the LCCE on the vcmts-m (PPOD). 
lcceIPv4Addr = IPv4 addr or "-"
lcceIpv6Addr= IPv6 addr or "-"
lcceState = {None, LccePromoted, LcceDemoted, Activation, DisableMacDomains, Deactivation, Promoted, ReplSync, UnsyncedActivation, Active, Standby}
protected = { yes, no}, whether the LCCE is protected by another MULPI instance
Warning: duplicate series briefly exist on state change.</t>
  </si>
  <si>
    <t>mulpi_Lcce_Md</t>
  </si>
  <si>
    <t>lcceId=
lcceIpv4Addr=
lcceIpv6Addr=
lcceState=
protected,
mdName,
mdState,
rpdState,
activityState</t>
  </si>
  <si>
    <t>integer representing mdState: 
Idle(0),
RemovingMd(1),
ReadMdInitialState(2),
Configuring(3),
Cestoration(4),
WaitForActiveMdConfig(5),
WaitingForPromotion(6),
WaitingReplSync(7),
Deactivated(8),
Operational(9)</t>
  </si>
  <si>
    <t>This metric is intended to be shown in a Grafana "Lcce Topology" table. It reproduces all information from the shell debug command
"ulc-debug mulpi ShowLccesTopology".  It may also be used for a time-series graph of the "mdState".
lcceId= Cluster-unique integer identifying the LCCE
lcceIpv4Addr= IPv4 address of the LCCE, or "-"
lcceIPv6Addr= IPv6 address of the LCCE, or "-"
lcceState= State of the MD on this MULPI instance; see mulpi_Lcce_State
protected= { yes, no}, whether the LCCE is protected by another MULPI instance. 
mdName= the cluster-unique name for the mac domain "MdX:Y/Z"
mdState =  name of the enumeratino for "mdState" value. 
rpdState = { None,  RpdDetached, RpdAttached, Standby, Active}
Warning: duplicate series briefly exist on state change.</t>
  </si>
  <si>
    <t>Ranging Group</t>
  </si>
  <si>
    <t>Reports events associated with Initial Maintenance (IM) and Station Maintenance (SM) ranging.  Reported only by MULPI instances active for a mac domain.</t>
  </si>
  <si>
    <t>mulpi_Ranging_BInitRngReq</t>
  </si>
  <si>
    <t>Received BINIT-RNG-REQ</t>
  </si>
  <si>
    <t>mulpi_Ranging_InitRngReq</t>
  </si>
  <si>
    <t>Received INIT_RNG_REQ for pre-D3.0 CM initial ranging</t>
  </si>
  <si>
    <t>mulpi_Ranging_InitRngReqAddCh</t>
  </si>
  <si>
    <t>Received INIT_RNG_REQ for post-D3.0 CM adding an upstream channel</t>
  </si>
  <si>
    <t>mulpi_Ranging_InitRngReqReInit</t>
  </si>
  <si>
    <t>Received INIT_RNG_REQ for forced re-initialization</t>
  </si>
  <si>
    <t xml:space="preserve">For example, after a forced channel change. </t>
  </si>
  <si>
    <t>mulpi_Ranging_RngReq</t>
  </si>
  <si>
    <t>Received RNG-REQ on primary upstream channel</t>
  </si>
  <si>
    <t xml:space="preserve">The "primary" upstream channel for a CM is the channel on which it sent its initial ranging request. </t>
  </si>
  <si>
    <t>mulpi_Ranging_RngReqNonPrimCh</t>
  </si>
  <si>
    <t>Received RNG-REQ on non-primary channel</t>
  </si>
  <si>
    <t>mulpi_Ranging_RngReqNonPrimChTout</t>
  </si>
  <si>
    <t>Timeout for scheduled maintenance RNG-REQ on non-primary upstream channel</t>
  </si>
  <si>
    <t xml:space="preserve">Monitor the sum of mulpi_Ranging_RngReqNonPrimChTout+mulpi_Ranging_ RngReqTout as a measure of overall upstream plant quality. </t>
  </si>
  <si>
    <t>mulpi_Ranging_RngReqRspDiff</t>
  </si>
  <si>
    <t>Difference between all  range requests and corresponding (solicited) range responses.</t>
  </si>
  <si>
    <t xml:space="preserve">Indicates a dropped range request, possibly due to high MULPI CPU usage or a software bug. </t>
  </si>
  <si>
    <t>mulpi_Ranging_ RngReqTout</t>
  </si>
  <si>
    <t>Timeout for scheduled maintenance RNG-REQ on primary upstream channel</t>
  </si>
  <si>
    <t>mulpi_Ranging_RngRspAbort</t>
  </si>
  <si>
    <t>Sent ABORT range response</t>
  </si>
  <si>
    <t>mulpi_Ranging_RngRspContinue</t>
  </si>
  <si>
    <t>Sent CONTINUE range response</t>
  </si>
  <si>
    <t xml:space="preserve">Constantly increasing counts may indicate CMs stuck in ranging. </t>
  </si>
  <si>
    <t>mulpi_Ranging_RngRspDsOverrideContinue</t>
  </si>
  <si>
    <t>Sent CONTINUE range response with downstream channel override</t>
  </si>
  <si>
    <t>mulpi_Ranging_RngRspSuccess</t>
  </si>
  <si>
    <t>Sent SUCCESS range response</t>
  </si>
  <si>
    <t xml:space="preserve">Station Maintenance SUCCESS response should be on the order of every 14 seconds per CM. </t>
  </si>
  <si>
    <t>mulpi_Ranging_RngRspUnsolicitedAbort</t>
  </si>
  <si>
    <t>Sent unsolicited ABORT range response</t>
  </si>
  <si>
    <t xml:space="preserve">Unsolicited ABORTs are sent to force a CM to re-initialize. </t>
  </si>
  <si>
    <t>mulpi_Ranging_RngRspUnsolicitedContinue</t>
  </si>
  <si>
    <t>Sent unsolicited CONTINUE range response</t>
  </si>
  <si>
    <t>Unsolicited CONTINUEs may be sent to re-synchronize CM offsets</t>
  </si>
  <si>
    <t>mulpi_Ranging_RngRspUnsolicitedSuccess</t>
  </si>
  <si>
    <t>Sent unsolicited SUCCESS range response</t>
  </si>
  <si>
    <t>Unsolicited SUCCESSs may be sent to adjust CM power levels</t>
  </si>
  <si>
    <t>mulpi_Ranging_SchedMaint</t>
  </si>
  <si>
    <t>Broadcast Scheduled Maintenance ranging opportunity</t>
  </si>
  <si>
    <t>mulpi_Ranging_SchedUniInitMaint</t>
  </si>
  <si>
    <t>Unicast Scheduled Maintenance (SM) ranging opportunity</t>
  </si>
  <si>
    <t>mulpi_Ranging_T3RetriesExceeded</t>
  </si>
  <si>
    <t>Ranging response timeout (T3) retries exceeded.</t>
  </si>
  <si>
    <t>CMTS discontinues SM ranging for CM on the channel. See DEBUG severity log with "ActionT3RetriesExceeded".</t>
  </si>
  <si>
    <t>mulpi_Ranging_T4Timeout</t>
  </si>
  <si>
    <t>Discontinued SM ranging to last channel for a CM.</t>
  </si>
  <si>
    <t>This causes a "T4 Timeout" deregistration by the CM.</t>
  </si>
  <si>
    <t>DhcpV4 Group</t>
  </si>
  <si>
    <t>Each metric counts the number of DHCPv4 messages for CMs and CPEs relayed by the CMTS.   Reported by only MULPI instances active for a mac domain.</t>
  </si>
  <si>
    <t>mulpi_DhcpV4Ack</t>
  </si>
  <si>
    <t>Relayed downstream DHCP-ACK</t>
  </si>
  <si>
    <t>mulpi_DhcpV4Decline</t>
  </si>
  <si>
    <t>Relayed downstream DHCP-DECLINE</t>
  </si>
  <si>
    <t>mulpi_DhcpV4Discover</t>
  </si>
  <si>
    <t>Relayed upstream DHCP-DISCOVER</t>
  </si>
  <si>
    <t xml:space="preserve">Increasing counts of mulpi_DhcpV4Discover without similarly increasing counts of mulpi_DhcpV4Offer are likely  caused by IPv4 routing issues upstream to or downstream from the DHCPv4 server. </t>
  </si>
  <si>
    <t>mulpi_DhcpV4Error</t>
  </si>
  <si>
    <t>Dropped unknown DHCPv4 message type</t>
  </si>
  <si>
    <t>Check logs</t>
  </si>
  <si>
    <t>mulpi_DhcpV4Inform</t>
  </si>
  <si>
    <t>Relayed downstream DHCP-INFORM</t>
  </si>
  <si>
    <t>mulpi_DhcpV4Nack</t>
  </si>
  <si>
    <t>Relayed downstream DHCP-NACK</t>
  </si>
  <si>
    <t>Indicates a lease rejected by by the DHCP server, which may be caused by incorrect DHCP server configuration.  Check DHCP server logs.</t>
  </si>
  <si>
    <t>mulpi_DhcpV4Offer</t>
  </si>
  <si>
    <t>Relayed downstream DHCP-OFFER</t>
  </si>
  <si>
    <t>mulpi_DhcpV4Release</t>
  </si>
  <si>
    <t>Relayed upstream DHCP-RELEASE</t>
  </si>
  <si>
    <t>mulpi_DhcpV4Request</t>
  </si>
  <si>
    <t>Relayed upstream DHCP-ACK</t>
  </si>
  <si>
    <t>DhcpV6 Group</t>
  </si>
  <si>
    <t>Each metric counts the number of DHCPv6 messages for CMs and CPEs relayed by the CMTS. Reported only for MULPI instances active for a mac domain.</t>
  </si>
  <si>
    <t>mulpi_DhcpV6Advertise</t>
  </si>
  <si>
    <t>Relayed downstream DHCPv6-ADVERTISE</t>
  </si>
  <si>
    <t>mulpi_DhcpV6Confirm</t>
  </si>
  <si>
    <t>Relayed upstream DHCPv6-CONFIRM</t>
  </si>
  <si>
    <t>mulpi_DhcpV6Decline</t>
  </si>
  <si>
    <t>Relayed downstream DHCPv6-DECLINE</t>
  </si>
  <si>
    <t>mulpi_DhcpV6InformationRequest</t>
  </si>
  <si>
    <t>Relayed upstream DHCPv6-INFORMATION-REQUEST</t>
  </si>
  <si>
    <t>mulpi_DhcpV6LeaseQuery</t>
  </si>
  <si>
    <t>Sent upstream DHCPv6-LEASEQUERY</t>
  </si>
  <si>
    <t>mulpi_DhcpV6LeaseQueryReply</t>
  </si>
  <si>
    <t>Received downstream DHCPv6-LEASEQUERYREPLY</t>
  </si>
  <si>
    <t>mulpi_DhcpV6Rebind</t>
  </si>
  <si>
    <t>Relayed upstream DHCPv6-REBIND</t>
  </si>
  <si>
    <t>mulpi_DhcpV6Reconfigure</t>
  </si>
  <si>
    <t>Relayed downstream DHCPv6-RECONFIGURE</t>
  </si>
  <si>
    <t>mulpi_DhcpV6RelayForw</t>
  </si>
  <si>
    <t>Relayed upstream DHCPv6-RELAY-FORW</t>
  </si>
  <si>
    <t>mulpi_DhcpV6RelayRepl</t>
  </si>
  <si>
    <t>Relayed downstream DHCPv6-RELAY-REPL</t>
  </si>
  <si>
    <t>mulpi_DhcpV6Release</t>
  </si>
  <si>
    <t>Relayed upstream DHCPv6-RELEASE</t>
  </si>
  <si>
    <t>mulpi_DhcpV6Renew</t>
  </si>
  <si>
    <t>Relayed upstream DHCPv6-RENEW</t>
  </si>
  <si>
    <t>mulpi_DhcpV6Reply</t>
  </si>
  <si>
    <t>Relayed downstream DHCPv6-REPLY</t>
  </si>
  <si>
    <t>mulpi_DhcpV6Request</t>
  </si>
  <si>
    <t>Relayed upstream DHCPv6-REQUEST</t>
  </si>
  <si>
    <t>mulpi_DhcpV6Solicit</t>
  </si>
  <si>
    <t>Relayed upstream DHCPv6-SOLICIT</t>
  </si>
  <si>
    <t xml:space="preserve">Increasing counts of mulpi_DhcpV6Solicit without similarly increasing counts of mulpi_DhcpV6Advertise are likely caused by IPv6 routing issues upstream to or downstream from the DHCPv4 server. </t>
  </si>
  <si>
    <t>DLB</t>
  </si>
  <si>
    <t>mulpi_DLB_Utilization_Deviation</t>
  </si>
  <si>
    <t xml:space="preserve">Value of std deviation of utilization between channels in the indicated direction on the mac domain. </t>
  </si>
  <si>
    <t>dir= { "ds" | "us" }</t>
  </si>
  <si>
    <t>mulpi_DLB_Iterations</t>
  </si>
  <si>
    <t xml:space="preserve">Absolute count of number of iterations running the DLB algorithm on the mac domain. </t>
  </si>
  <si>
    <t>Value is 0. Labels  indicate the configuration of DLB operation in the indicated direction for the mac domain.</t>
  </si>
  <si>
    <t>mmm= { "dcc" | "dlb" }
enabled= {yes|no}
initTech= { reinit(0) | broadcast(1) | unicast(2) | ranging(3) | direct(4) | ofdma-probe(5) | ofdma-initial(6) | ofdma-station(7) }
balancing-period-secs= configured load balancing seconds
min-chan-load-pct=  threshold of minimum originating channel loading, in percent
min-load-diff-pct= minimum difference in loading between channels to enable DLB
min-stddev-load-pct=mininimum improved in standard deviation of load</t>
  </si>
  <si>
    <t>mulpi_DLB_Succeeded</t>
  </si>
  <si>
    <t>Absolute count of successful DLB moves.</t>
  </si>
  <si>
    <t>mulpi_DLB_Failed</t>
  </si>
  <si>
    <t xml:space="preserve">Absolute count of unsuccessful DLB moves due to the  CM singalling a failure. </t>
  </si>
  <si>
    <t>mulpi_DLB_Lost</t>
  </si>
  <si>
    <t xml:space="preserve">Absolute count of unsuccessful DLBs due to lost responses from the CM. </t>
  </si>
  <si>
    <t>HmProbe</t>
  </si>
  <si>
    <t xml:space="preserve">Statistics on regular "Health Monitoring" probes to each MULPI controller thread; helpful for investigating  MULPI software response issues. ` All metrics have a "controller" label that gives the name of the MULPI controller. </t>
  </si>
  <si>
    <t>mulpi_HmProbe_AvgExecDelay</t>
  </si>
  <si>
    <t>controller=</t>
  </si>
  <si>
    <t>Average delay of "health maintenance" poll response by a Mulpi controller thread in last 15 seconds</t>
  </si>
  <si>
    <t>mulpi_HmProbe_LastExecDelay</t>
  </si>
  <si>
    <t>Most recent delay of "health maintenance" poll response by a Mulpi controller thread</t>
  </si>
  <si>
    <t>mulpi_HmProbe_MaxExecDelay</t>
  </si>
  <si>
    <t>Maximum delay of "health maintenance" poll response by a Mulpi controller thread in last 15 seconds</t>
  </si>
  <si>
    <t>mulpi_HmProbe_MinExecDelay</t>
  </si>
  <si>
    <t>Minimum delay of "health maintenance" poll response by a Mulpi controller thread in last 15 seconds</t>
  </si>
  <si>
    <t>mulpi_HmProbe_Posted</t>
  </si>
  <si>
    <t>Number of "health maintenance" polls sent to a  Mulpi controller thread in last 15 seconds</t>
  </si>
  <si>
    <t>mulpi_HmProbe_Processed</t>
  </si>
  <si>
    <t>Number of  "health maintenance" poll responses received from Mulpi controller thread in last 15 seconds</t>
  </si>
  <si>
    <t>MMM Group</t>
  </si>
  <si>
    <t>Counts of non-ranging Mac Management Messages received or sent by the CMTS. Reported only by MULPI instances active for  mac domain.</t>
  </si>
  <si>
    <t>mulpi_MMM_RegAckFailed</t>
  </si>
  <si>
    <t>Received REG-ACK Failed status</t>
  </si>
  <si>
    <t>mulpi_MMM_RegAckPartial</t>
  </si>
  <si>
    <t>Received REG-ACK Partial Service status</t>
  </si>
  <si>
    <t>mulpi_MMM_RegAckSuccess</t>
  </si>
  <si>
    <t>Received REG-ACK Success</t>
  </si>
  <si>
    <t>mulpi_MMM_RegReq</t>
  </si>
  <si>
    <t>Received single-part (pre-D3.0) REG-REQ</t>
  </si>
  <si>
    <t>mulpi_MMM_RegReqMp</t>
  </si>
  <si>
    <t>Received multi-part (post-D3.0) REG-REQ</t>
  </si>
  <si>
    <t>mulpi_MMM_RegRsp</t>
  </si>
  <si>
    <t>Sent single-part (pre-D3.0) REG-RSP</t>
  </si>
  <si>
    <t>mulpi_MMM_RegRspMp</t>
  </si>
  <si>
    <t>Sent multi-part (post-D3.0) REG-RSP</t>
  </si>
  <si>
    <t>mulpi_MMM_T6Expired</t>
  </si>
  <si>
    <t>Timed out waiting for REG-ACK (T6)</t>
  </si>
  <si>
    <t>May indicate CM rejection or crash on unexpected REG-RSP parameter.</t>
  </si>
  <si>
    <t>mulpi_MMM_UpDis</t>
  </si>
  <si>
    <t>Sent UP-DIS (Upstream Disconnect) message</t>
  </si>
  <si>
    <t>ERROR</t>
  </si>
  <si>
    <t>Data Path Application Telemetry</t>
  </si>
  <si>
    <t>Changes from previous version in RED.</t>
  </si>
  <si>
    <t>v02</t>
  </si>
  <si>
    <t xml:space="preserve">Remove dp_uspp_dropProxyArps, dp_uspp_proxyArps
Remove reporting of dp_dsQos metrics due to currently scalability concerns. </t>
  </si>
  <si>
    <t>Overall Notes</t>
  </si>
  <si>
    <t xml:space="preserve">* Unless otherwise indicated,  error conditions do not generate a log message due to potentially high volume. </t>
  </si>
  <si>
    <t xml:space="preserve"> * Many warning counts  permit snooping of the dropped packets, as indicatd in the Notes column.  Enable snooping by exec'g to pod "vcmts-cd-x-x" container "uspp" and run "ulc-debug uspp SnoopSetConfig &lt;module&gt; &lt;source&gt;  &lt;req-mask&gt; &lt;forbid-mask&gt;".  The &lt;module&gt; and &lt;source&gt; strings are as described for the metric.
Set masks to 0 for all packet types. Nonzero masks either require or forbid certain packet types:  0x01=Mmm, 0x02=Timing, 0x04=HighPriority, 0x08=Multicast, 0x10=Encrypted, 0x20=Bonded, 0x40=Isolated.
Show the current snoop settings with "ulc-debug uspp SnoopShowConfig".  Snooped packets are copied to the linux interface named "snoop_1"of the uspp container,  where they may be traced with "tcpdump". 
Discontinue snooping with "ulc-debug uspp SnoopClearAll".</t>
  </si>
  <si>
    <t xml:space="preserve">*  Severity levels indicate what customer action is expected:  INFO is for normal operation  and statistics with no customer action required.. WARN is a service failure that is usually temporay and requires no further customer action.  ERROR is an event for which some customer action is requested.   CRITICAL is an event for which immediate customer action is required to prevent significant subscriber loss of service. </t>
  </si>
  <si>
    <t>dp_dist</t>
  </si>
  <si>
    <t xml:space="preserve">DIST is the main interface of the Data Path to the rest of the VCMTS. DIST is a "distributor" thread that receives all downtream and upstream packets for the data path and distributes them to instances of the DSPP and USMAC modules.  It handles packets from two  external ethernet ports Eth0 and Eth1, which are bonded together into a Link Aggregation Group (LAG) implemented by the Data Path Development Kit (DPDK).  Incoming packets  may be tagged with a VLAN tag for the  DOCSIS Side Inteface (DSI) VLAN or the Network Side Interface (NSI) VLAN.  DIST outgoing packets go to the DSPP thread (downstream), a USMAC thread (upstream), or are trapped locally as "sync" packets for DOCSIS timing.   Local IP packets to and from other Linux processes (e.g. LLDP daemon, PTP daemon) are forwarded over a "Kernel Network Interface" KNI.  Port-specific KNI packets (only for LLDP) are counted separately from KNI packets for the  LAG of both ports (all other protocols).  Without errors, the sum of DIST NSI+DSI vlan traffic input  (distInDsiVlanPkts+distInNsiVlanPkts) will equal the sum of DIST traffic output (distOutToUsMacPkts + distOutToDsppPkts + distTrapSyncPkts).
Without errors, dp_dist_InPkts  will equal the sum of  dp_distInDsiVlanPkts + distInUntaggedPkts + dp_distInLldpPktsPort0 + disInLldpPktsPort1. </t>
  </si>
  <si>
    <t>dp_dist_InDsiVlanPkts</t>
  </si>
  <si>
    <t xml:space="preserve">Number of DIST input packets tagged with the DSI VLAN ID. </t>
  </si>
  <si>
    <t>dp_dist_InLldpPktsPort0</t>
  </si>
  <si>
    <t>Number of Link Layer Discovery Protocol (LLDP) packets received on Eth port 0.</t>
  </si>
  <si>
    <t>dp_dist_InLldpPktsPort1</t>
  </si>
  <si>
    <t>dp_dist_InNsiVlanPkts</t>
  </si>
  <si>
    <t xml:space="preserve">Number of DIST input packets tagged with the NSI VLAN ID. </t>
  </si>
  <si>
    <t>dp_dist_InPkts</t>
  </si>
  <si>
    <t>Total number of downstream and upstream packets provided to the data path.</t>
  </si>
  <si>
    <t>dp_dist_InUntaggedPkts</t>
  </si>
  <si>
    <t>Number of DSI input packets without a VLAN tag.</t>
  </si>
  <si>
    <t>dp_dist_OutToDsppPkts</t>
  </si>
  <si>
    <t>Downstream packets sent  to a DSPP thread instance.</t>
  </si>
  <si>
    <t>dp_dist_OutToUsMacPkts</t>
  </si>
  <si>
    <t>Upstream  packets sent  to a DSPP thread instance.</t>
  </si>
  <si>
    <t>dp_dist_port0_inKniErrors</t>
  </si>
  <si>
    <t>KNI input  Packets for port 0 only discarded for error.</t>
  </si>
  <si>
    <t>Monitor for nonzero counts. Log from NetControl.cpp with "*** read error, errno= %s"</t>
  </si>
  <si>
    <t>dp_dist_port0_inKniPkts</t>
  </si>
  <si>
    <t>KNI input  Packets for port 0 only received normally.</t>
  </si>
  <si>
    <t>dp_dist_port0_outPortErrors</t>
  </si>
  <si>
    <t>Packets for  port 0 only with  transmit error</t>
  </si>
  <si>
    <t>No error logs due to potential high volume</t>
  </si>
  <si>
    <t>dp_dist_port0_outPortPkts</t>
  </si>
  <si>
    <t xml:space="preserve">Packets  for port 0 only transmitted normally. </t>
  </si>
  <si>
    <t>dp_dist_port1_inKniErrors</t>
  </si>
  <si>
    <t>KNI input  Packets for port 1 only discarded for erro</t>
  </si>
  <si>
    <t>Monitor for nonzero counts. Log from NetControl.cpp with  "*** read error, errno= %s"</t>
  </si>
  <si>
    <t>dp_dist_port1_inKniPkts</t>
  </si>
  <si>
    <t>KNI input  Packets for port 1 only received normally.</t>
  </si>
  <si>
    <t>dp_dist_port1_outPortErrors</t>
  </si>
  <si>
    <t>Packet transmit errors intended for port 1 only.</t>
  </si>
  <si>
    <t xml:space="preserve">Monitor for nonzero counts. Ethernet port 1 may be down. </t>
  </si>
  <si>
    <t>dp_dist_port1_outPortPkts</t>
  </si>
  <si>
    <t>Normally transmitted packets for port 1 only.</t>
  </si>
  <si>
    <t>dp_dist_portMgmt_inKniErrors</t>
  </si>
  <si>
    <t>KNI input  Packets for MGMT port only discarded for error.</t>
  </si>
  <si>
    <t>dp_dist_portMgmt_inKniPkts</t>
  </si>
  <si>
    <t>KNI input  Packets for MGMT port received normally.</t>
  </si>
  <si>
    <t>dp_dist_portMgmt_outPortErrors</t>
  </si>
  <si>
    <t xml:space="preserve">Monitor for nonzero counts. Ethernet Management port may be down. </t>
  </si>
  <si>
    <t>dp_dist_portMgmt_outPortPkts</t>
  </si>
  <si>
    <t>dp_dist_SyncsDropped</t>
  </si>
  <si>
    <t>DOCSIS master clock timing input packets dropped when unable to send to KNI.</t>
  </si>
  <si>
    <t xml:space="preserve"> Monitor for nonzero counts. Indicates Linux task CPU overload or timing task hang.</t>
  </si>
  <si>
    <t>dp_dist_ToDsppDropped</t>
  </si>
  <si>
    <t>Packets for DSPP dropped due to queue overflow.</t>
  </si>
  <si>
    <t xml:space="preserve">Should be monitored for nonzero counts. Indicates DSPP thread CPU is overloaded. </t>
  </si>
  <si>
    <t>dp_dist_ToUsMacDropped</t>
  </si>
  <si>
    <t>dp_dist_TrapSyncPkts</t>
  </si>
  <si>
    <t>DOCSIS master clock timing  packets received as Broadcom-format unicast  packets on port 30132 or  PTP multicast packets to 239.239.239.239).</t>
  </si>
  <si>
    <t>dp_dsenc</t>
  </si>
  <si>
    <t>Stats from the "DSENC" thread</t>
  </si>
  <si>
    <t>dp_dsenc_EncryptedPackets</t>
  </si>
  <si>
    <t>Number dp_dsenc_InPkts that are encrypted</t>
  </si>
  <si>
    <t>dp_dsenc_InPkts</t>
  </si>
  <si>
    <t>Total number of packets input to DSENC from DSPP</t>
  </si>
  <si>
    <t>dp_dsenc_InternalQueueFullErrors</t>
  </si>
  <si>
    <t>Packets dropped due to internal queue to encryption hardware full.</t>
  </si>
  <si>
    <t>dp_dsenc_InvalidFlowDrops</t>
  </si>
  <si>
    <t>Packets dropped due to unknown flow id</t>
  </si>
  <si>
    <t>Small increments are normal during the race condition when flows are deleted. Constantly increasing counts indicate an internal database error and may require resetting a CM.</t>
  </si>
  <si>
    <t>dp_dsenc_outHighPrioBytes</t>
  </si>
  <si>
    <t>Bytes forwarded to TM on "high priority" flows for MAPS.</t>
  </si>
  <si>
    <t>dp_dsenc_outHighPrioDrops</t>
  </si>
  <si>
    <t>Packets dropped on output to TM for "high priority" flows of MAPs.</t>
  </si>
  <si>
    <t xml:space="preserve">Indicates CPU overloading on the TM thread.   Should be monitored for any nonzero counts.  No log messages due to potential high volume. </t>
  </si>
  <si>
    <t>dp_dsenc_outHighPrioPackets</t>
  </si>
  <si>
    <t>Packets forwarded normally to TM on "high priority" flows of MAPs.</t>
  </si>
  <si>
    <t>dp_dsenc_outLowPrioBytes</t>
  </si>
  <si>
    <t>Bytes forwarded normally to TM for "low priority" flows of  subscriber traffic.</t>
  </si>
  <si>
    <t>dp_dsenc_outLowPrioDrops</t>
  </si>
  <si>
    <t xml:space="preserve">Packets dropped on output to TM on "low priority" flows of subscriber traffic. </t>
  </si>
  <si>
    <t>dp_dsenc_outLowPrioPackets</t>
  </si>
  <si>
    <t>Packets forwarded normally to TM for "low priority" flows of subscriber traffic.</t>
  </si>
  <si>
    <t>dp_dsenc_QatErrors</t>
  </si>
  <si>
    <t xml:space="preserve">Internal  errors reported by encryption hardware. </t>
  </si>
  <si>
    <t xml:space="preserve">Should be monitored for nonzero counts. No log messages due to potential high volume. </t>
  </si>
  <si>
    <t>dp_dsenc_SaidNotProvisionedDrops</t>
  </si>
  <si>
    <t>Packets dropped due to unknown Security Association ID (SAID).</t>
  </si>
  <si>
    <t>Small increments are normal due to race conditions on flow start/stop.  Constant increases indicate an internal database error and require a CM to re-register. No log messages due to potential high volume.</t>
  </si>
  <si>
    <t>dp_dsmac</t>
  </si>
  <si>
    <t>Stats from the "DSMAC" thread</t>
  </si>
  <si>
    <t>dp_dsmac_InPackets</t>
  </si>
  <si>
    <t>Normal packets forwarded from TM</t>
  </si>
  <si>
    <t>dp_dsmac_InvalidFlowDrops</t>
  </si>
  <si>
    <t>Packets dropped due to unknown flow ID</t>
  </si>
  <si>
    <t>dp_dsmac_MdIndexErrors</t>
  </si>
  <si>
    <t>Packets dropped due to unknown Mac Domain Index.</t>
  </si>
  <si>
    <t xml:space="preserve">Small increments are normal due to race conditions on mac domain enable/disable. Constant increases indicate an internal database error. Try   repeating an MD enable/disable.  </t>
  </si>
  <si>
    <t>dp_dsmac_OutDrops</t>
  </si>
  <si>
    <t>Packets dropped due to buffer overflow on output to Ethernet LAG</t>
  </si>
  <si>
    <t xml:space="preserve">Small bursts are normal during very high usage peaks. Constant increases may indicate a ethernet port failure. </t>
  </si>
  <si>
    <t>dp_dsmac_OutPackets</t>
  </si>
  <si>
    <t>Normal packets forwarded to ethernet LAG</t>
  </si>
  <si>
    <t>dp_dspp</t>
  </si>
  <si>
    <t>Stats from the "DSPP" thread</t>
  </si>
  <si>
    <t>dp_dspp_disabledMacDrops</t>
  </si>
  <si>
    <t>Packets dropped due to a disabled CM mac address.</t>
  </si>
  <si>
    <t xml:space="preserve">Normal to drop packets to a disabled CM.  </t>
  </si>
  <si>
    <t>dp_dspp_disabledMdMcastDrops</t>
  </si>
  <si>
    <t>Multicast packets dropped due to Mac Domain disabled.</t>
  </si>
  <si>
    <t>Small increments are normal due to race conditions when a mac domain is enabled/disabled. Constant increases indicate an internal database error. Try repeating an MD enable/disable.</t>
  </si>
  <si>
    <t>dp_dspp_disabledMdUcastDrops</t>
  </si>
  <si>
    <t>Unicast Packets dropped due to Mac Domain disabled.</t>
  </si>
  <si>
    <t>dp_dspp_docsisMtuExceededIcmpV4Drops</t>
  </si>
  <si>
    <t>Failed to send ICMP "MTU Exceeded" message in IPv4.</t>
  </si>
  <si>
    <t>Monitor for nonzero counts.  Error transmitting ICMP packet, possibly due to ethernet port failure. Snoop with "SnoopSetConfig dspp "DocsisMtuExceededIcmpOut 0 0".</t>
  </si>
  <si>
    <t>dp_dspp_docsisMtuExceededIcmpV4Sent</t>
  </si>
  <si>
    <t>Sent ICMP "MTU Exceeded" for IPv4</t>
  </si>
  <si>
    <t>Packet snooping of "DocsisMtuExceededIcmpOut" may observe dropped packets.</t>
  </si>
  <si>
    <t>dp_dspp_docsisMtuExceededIcmpV6Drops</t>
  </si>
  <si>
    <t>Failed to send ICMP "MTU Exceeded" message in IPv6.</t>
  </si>
  <si>
    <t>Monitor for nonzero counts.  Error transmitting ICMP packet, possibly due to ethernet port failure. Snoop with  "SnoopSetConfig dspp DocsisMtuExceededIcmpOut 0 0".</t>
  </si>
  <si>
    <t>dp_dspp_docsisMtuExceededIcmpV6Sent</t>
  </si>
  <si>
    <t>Sent ICMP "MTU Exceeded" for IPv6</t>
  </si>
  <si>
    <t>Snoop with  "SnoopSetConfig dspp DocsisMtuExceededIcmpOut 0 0".</t>
  </si>
  <si>
    <t>dp_dspp_docsisMtuExceededL2vpnDrops</t>
  </si>
  <si>
    <t>Dropped L2VPN-forwarded packet to big for CM  MTU.</t>
  </si>
  <si>
    <t>Small increments normal during Path MTU discovery.  Continuous increments indicate L2VPN subscribers sending packets too large.  "Snoop with  "SnoopSetConfig dspp DocsisMtuExceededL2vpn 0 0".</t>
  </si>
  <si>
    <t>dp_dspp_docsisMtuExceededMcastDrops</t>
  </si>
  <si>
    <t>Dropped multicast packet too big for default MTU (currently 1518 bytes)</t>
  </si>
  <si>
    <t>Monitor for nonzero counts. Adjust multicast source to send with smaller MTU. Snoop with  "SnoopSetConfig  DocsisMtuExceededMcast 0 0" .</t>
  </si>
  <si>
    <t>dp_dspp_docsisMtuExceededNonIpDrops</t>
  </si>
  <si>
    <t>Dropped non-IP packet too big for default MTU (1518 bytes)</t>
  </si>
  <si>
    <t>dp_dspp_docsisMtuExceededUcastDrops</t>
  </si>
  <si>
    <t>Dropped IP unicast packet too big for CM MTU.</t>
  </si>
  <si>
    <t xml:space="preserve">Small increments normal during Path MTU discovery.  Continuous increments indicate internet servers sending packets too large to a CM.  Snoop with "ulc-debug uspp SnoopSetConfig dspp DocsisMtuExceededUcast 0 0" </t>
  </si>
  <si>
    <t>dp_dspp_dropBlocked</t>
  </si>
  <si>
    <t>Dropped downstream packet to unauthorized CPE IP</t>
  </si>
  <si>
    <t xml:space="preserve">Monitor for nonzero counts. May indicate a hacking attempt or internal errors processing DHCP.   See log from DhcpHandler.cpp with "UnknownCpeRequest". </t>
  </si>
  <si>
    <t>dp_dspp_dropNsiVlan</t>
  </si>
  <si>
    <t>Dropped packet with unknown NSI VLAN ID.</t>
  </si>
  <si>
    <t xml:space="preserve">Monitor for nonzero counts. Indicates  misconfiguration of northbound switch or VCMTS NSI vlan ID. </t>
  </si>
  <si>
    <t>dp_dspp_dsiOutBytes</t>
  </si>
  <si>
    <t>Normal UEPI map bytes forwarded directly to DSI port</t>
  </si>
  <si>
    <t>dp_dspp_dsiOutDrops</t>
  </si>
  <si>
    <t>Dropped UEPI map  packets attempted to forward to DSI port</t>
  </si>
  <si>
    <t>Monitor for nonzero counts. May indicate excessive load on DSI Ethernet port or a down DSI Ethernet port.</t>
  </si>
  <si>
    <t>dp_dspp_dsiOutPkts</t>
  </si>
  <si>
    <t xml:space="preserve">UEPI map packets forwarded directly to DSI port </t>
  </si>
  <si>
    <t>Normal and dropped UEPI packets can be snooped with "OutUepiMaps"</t>
  </si>
  <si>
    <t>dp_dspp_dsppArpPkts</t>
  </si>
  <si>
    <t>Processed downstream ARP packet</t>
  </si>
  <si>
    <t>See logs with text "Trap downstream protocol ARP"</t>
  </si>
  <si>
    <t>dp_dspp_filteredDrops</t>
  </si>
  <si>
    <t>Dropped packets due to subscriber mgmt filtering.</t>
  </si>
  <si>
    <t>"ulc-debug uspp SnoopSetConfig dspp Drop_Filtered 0 0"</t>
  </si>
  <si>
    <t>dp_dspp_inInternalPkts</t>
  </si>
  <si>
    <t>Internal generated DOCSIS MMM packet.</t>
  </si>
  <si>
    <t>dp_dspp_injectedPkts</t>
  </si>
  <si>
    <t xml:space="preserve">Subscriber packets injected by local software, e.g. DHCP. </t>
  </si>
  <si>
    <t>dp_dspp_injectMissDrops</t>
  </si>
  <si>
    <t>Injected packet (e.g. ping) dropped due to unknown destination mac address.</t>
  </si>
  <si>
    <t>DP Log at TRACE priority for MacForwarding module with text  "Inject Hash miss drop for mac address".  "ulc-debug uspp SnoopSetConfig dspp Drop_InjectMiss 0 0"</t>
  </si>
  <si>
    <t>dp_dspp_inNsiPkts</t>
  </si>
  <si>
    <t xml:space="preserve">Input packets from NSI port. </t>
  </si>
  <si>
    <t xml:space="preserve"> Snoop with thread "Dspp", module  "DataIn" </t>
  </si>
  <si>
    <t>dp_dspp_inPkts</t>
  </si>
  <si>
    <t xml:space="preserve">Total DSPP input packes </t>
  </si>
  <si>
    <t>Includes both dsp_dspp_inNsiPkts and dp_dspp_inInternalPkts</t>
  </si>
  <si>
    <t>dp_dspp_internalDirectlySent</t>
  </si>
  <si>
    <t>Total internally-generated packets sent, including UEPI maps and OFDMA UCDs.</t>
  </si>
  <si>
    <t>Includes dp_dspp_uepiMapsSent and dp_dspp_uepiOfdmaUcdSent</t>
  </si>
  <si>
    <t>dp_dspp_internalMissDrops</t>
  </si>
  <si>
    <t>Dropped internally generated packet (e.g. maps) due to unknown destination mac address.</t>
  </si>
  <si>
    <t xml:space="preserve">"ulc-debug  uspp SnoopSetConfig dspp Drop_InternalMiss 0 0 </t>
  </si>
  <si>
    <t>dp_dspp_lagNsiHostPkts</t>
  </si>
  <si>
    <t>Received NSI packets to local host</t>
  </si>
  <si>
    <t>dp_dspp_mdmaHashMissDrops</t>
  </si>
  <si>
    <t>Dropped Mac Domain Mac Address (MDMA) (i.e. VCMTS) input due to unknown destination MAC address.</t>
  </si>
  <si>
    <t>Check log for "Hash miss drop to IP address"</t>
  </si>
  <si>
    <t>dp_dspp_mdmaNonIpPktDrops</t>
  </si>
  <si>
    <t xml:space="preserve">Dropped MDMA input due to non-IP packet. </t>
  </si>
  <si>
    <t>Not snooped</t>
  </si>
  <si>
    <t>dp_dspp_multicastHashMissDrops</t>
  </si>
  <si>
    <t>Dropped internal generated packet due to unknown multicast mac address.</t>
  </si>
  <si>
    <t>Check log for "Hash miss drop to mac address"</t>
  </si>
  <si>
    <t>dp_dspp_noMbufs</t>
  </si>
  <si>
    <t>CRITICAL</t>
  </si>
  <si>
    <t>Out of Message Buffers</t>
  </si>
  <si>
    <t xml:space="preserve">Check for nonzero counts and force pod switchover when detected. </t>
  </si>
  <si>
    <t>dp_dspp_outHighPrioBytes</t>
  </si>
  <si>
    <t>Normally forwarded output bytes to DSENC module for high priority (MAP) packets</t>
  </si>
  <si>
    <t>dp_dspp_outHighPrioDrops</t>
  </si>
  <si>
    <t xml:space="preserve">Dropped high priority packets (MAPs) due to  overflow on ring to DSENC thread. </t>
  </si>
  <si>
    <t xml:space="preserve">Indicates overly high CPU loading on DSENC thread. </t>
  </si>
  <si>
    <t>dp_dspp_outHighPrioPackets</t>
  </si>
  <si>
    <t>Normally forwarded output packets to DSENC module for high priority (MAP) packets</t>
  </si>
  <si>
    <t>dp_dspp_outLowPrioBytes</t>
  </si>
  <si>
    <t>Normally forwarded bytes of low priority (subscriber) packets forwarded to DSENC.</t>
  </si>
  <si>
    <t>dp_dspp_outLowPrioDrops</t>
  </si>
  <si>
    <t xml:space="preserve">Dropped low  priority (subscriber) packets  due to overflow on ring to DSENC thread. </t>
  </si>
  <si>
    <t>dp_dspp_outLowPrioPackets</t>
  </si>
  <si>
    <t>dp_dspp_plcPkts</t>
  </si>
  <si>
    <t>Normally forwarded internally generated packets to OFDM Phy Layer Control (PLC) channel</t>
  </si>
  <si>
    <t>dp_dspp_syncPkts</t>
  </si>
  <si>
    <t>Normally forwarded internally generated DOCSIS SYNC packets.</t>
  </si>
  <si>
    <t>dp_dspp_trapDrops</t>
  </si>
  <si>
    <t>Spinlock() failure on local KNI output to NSI.</t>
  </si>
  <si>
    <t xml:space="preserve">Monitor for nonzero.  May need to reset node to correct this. </t>
  </si>
  <si>
    <t>dp_dspp_trapRingDropped</t>
  </si>
  <si>
    <t xml:space="preserve">Unable to forward unknown CPE request for background processing. </t>
  </si>
  <si>
    <t xml:space="preserve">Indicates high CPU load on background (e.g. MULPI) process.  </t>
  </si>
  <si>
    <t>dp_dspp_uepiMapsMissDrops</t>
  </si>
  <si>
    <t>Unable to send UEPI MAP</t>
  </si>
  <si>
    <t>Snoop with "ulc-debug uspp SnoopSetConfig dspp UepiMapsMiss 0 0"</t>
  </si>
  <si>
    <t>dp_dspp_uepiMapsSent</t>
  </si>
  <si>
    <t>Normally sent UEPI map packets</t>
  </si>
  <si>
    <t>dp_dspp_uepiOfdmaUcdMissDrops</t>
  </si>
  <si>
    <t>Unable to send UEPI OFDMA UCD packet</t>
  </si>
  <si>
    <t>Snoop with "ulc-debug uspp SnoopSetConfig dspp UepiOfdmaUcdMiss 0 0"</t>
  </si>
  <si>
    <t>dp_dspp_uepiOfdmaUcdSent</t>
  </si>
  <si>
    <t>Normally sent OFDMA UCD packets</t>
  </si>
  <si>
    <t>dp_dspp_unclassifiedDrops</t>
  </si>
  <si>
    <t xml:space="preserve">Dropped due to failure to classify packet. </t>
  </si>
  <si>
    <t>Small increments are normal due to race conditions with adding/deleting flows. Continuous increments indicate internal database error. Snoop with "ulc-debug uspp SnoopSetConfig dspp Unclassified 0 0"</t>
  </si>
  <si>
    <t>dp_dspp_unicastHashMissDrops</t>
  </si>
  <si>
    <t>Dropped  packet to unknown destination mac address.</t>
  </si>
  <si>
    <t xml:space="preserve">Snoop with "ulc-debug uspp SnoopSetConfig dspp HashMiss". </t>
  </si>
  <si>
    <t>dp_dspp_unknownCpeRequestsDroppedIpv4</t>
  </si>
  <si>
    <t>Dropped downtream packet to unknown IPv4 CPE for background leasequery  processing due to throttling.</t>
  </si>
  <si>
    <t xml:space="preserve">May indicate denial-of-service attack. See log with "DHCP LQ IPv4 drop". </t>
  </si>
  <si>
    <t>dp_dspp_unknownCpeRequestsDroppedIpv6</t>
  </si>
  <si>
    <t>Dropped downtream packet to unknown IPv6 CPE for background leasequery processing due to throttling.</t>
  </si>
  <si>
    <t>May indicate denial-of-service attack. See log with "DHCP LQ IPv6 drop"</t>
  </si>
  <si>
    <t>dp_dspp_unknownCpeRequestsSentIpv4</t>
  </si>
  <si>
    <t xml:space="preserve">Normally sent downstream packet to unknown IPv4 address for background DHCP leasequery processing. </t>
  </si>
  <si>
    <t>dp_dspp_unknownCpeRequestsSentIpv6</t>
  </si>
  <si>
    <t>dp_dspp_unknownReplFlowDrops</t>
  </si>
  <si>
    <t>Unable to replicate downstream packet.</t>
  </si>
  <si>
    <t>Small increments are normal due to race conditions when adding/dropping channels.  Continuouis increments indicate an internal database error.</t>
  </si>
  <si>
    <t>dp_dspp_vfSelfLoopbackDrops</t>
  </si>
  <si>
    <t>dp_eth</t>
  </si>
  <si>
    <t xml:space="preserve">Statistics from the DPDK ethernet driver </t>
  </si>
  <si>
    <t>dp_eth_ibytes</t>
  </si>
  <si>
    <t xml:space="preserve">Total received bytes, including errors. </t>
  </si>
  <si>
    <t>dp_eth_imissed</t>
  </si>
  <si>
    <t>Dropped receive packets  due to insufficient receive buffers</t>
  </si>
  <si>
    <t xml:space="preserve">Possibly due to high interrupt latency to ethernet drive.r </t>
  </si>
  <si>
    <t>dp_eth_ipackets</t>
  </si>
  <si>
    <t>Total received packets, including errors.</t>
  </si>
  <si>
    <t>dp_eth_obytes</t>
  </si>
  <si>
    <t>Total output bytes, including errors.</t>
  </si>
  <si>
    <t>dp_eth_opackets</t>
  </si>
  <si>
    <t>Total output packets, including errors</t>
  </si>
  <si>
    <t>dp_eth_rx_errors</t>
  </si>
  <si>
    <t>Dropped receive packets due to packet format errors (e.g. CRC erros)</t>
  </si>
  <si>
    <t>dp_eth_rx_good_bytes</t>
  </si>
  <si>
    <t>Normal received bytes</t>
  </si>
  <si>
    <t>dp_eth_rx_good_packets</t>
  </si>
  <si>
    <t>Normally received packets</t>
  </si>
  <si>
    <t>dp_eth_rx_mbuf_allocation_errors</t>
  </si>
  <si>
    <t>Mbuf library errors</t>
  </si>
  <si>
    <t xml:space="preserve">Restart pod if nonzero. </t>
  </si>
  <si>
    <t>dp_eth_rx_nombuf</t>
  </si>
  <si>
    <t>Failures to allocate mbuf for receive buffer.</t>
  </si>
  <si>
    <t>dp_eth_rx_q0bytes</t>
  </si>
  <si>
    <t>Received bytes on driver queue 0 (both DSI and NSI)</t>
  </si>
  <si>
    <t>dp_eth_rx_q0errors</t>
  </si>
  <si>
    <t>Error packets received on  driver queue 0</t>
  </si>
  <si>
    <t>dp_eth_rx_q0packets</t>
  </si>
  <si>
    <t>Normal received packets from driver queue 0</t>
  </si>
  <si>
    <t>dp_eth_tx_errors</t>
  </si>
  <si>
    <t>Packet transmit errors</t>
  </si>
  <si>
    <t>E.g. due to port down</t>
  </si>
  <si>
    <t>dp_eth_tx_good_bytes</t>
  </si>
  <si>
    <t>Normally transmitted bytes</t>
  </si>
  <si>
    <t>dp_eth_tx_good_packets</t>
  </si>
  <si>
    <t>Normally transmitted packets</t>
  </si>
  <si>
    <t>dp_eth_tx_q0bytes</t>
  </si>
  <si>
    <t>Transmit queue 0 bytes</t>
  </si>
  <si>
    <t>dp_eth_tx_q0packets</t>
  </si>
  <si>
    <t>Transmit queue 0 packets</t>
  </si>
  <si>
    <t>dp_eth_tx_q1bytes</t>
  </si>
  <si>
    <t>Transmit queue 1 bytes</t>
  </si>
  <si>
    <t>dp_eth_tx_q1packets</t>
  </si>
  <si>
    <t>Transmit queue 1 packets</t>
  </si>
  <si>
    <t>dp_eth_tx_q2bytes</t>
  </si>
  <si>
    <t>Transmit queue 2 bytes</t>
  </si>
  <si>
    <t>dp_eth_tx_q2packets</t>
  </si>
  <si>
    <t>Transmit queue 2 packets</t>
  </si>
  <si>
    <t>dp_eth_tx_q3bytes</t>
  </si>
  <si>
    <t>Transmit queue 3 bytes</t>
  </si>
  <si>
    <t>dp_eth_tx_q3packets</t>
  </si>
  <si>
    <t>Transmit queue 3 packets</t>
  </si>
  <si>
    <t>dp_eth_tx_q4bytes</t>
  </si>
  <si>
    <t xml:space="preserve">Transmit queue 4 bytes </t>
  </si>
  <si>
    <t>dp_eth_tx_q4packets</t>
  </si>
  <si>
    <t>Transmit queue 4 packets</t>
  </si>
  <si>
    <t>dp_eth_tx_q5bytes</t>
  </si>
  <si>
    <t>Transmit queue 5 bytes</t>
  </si>
  <si>
    <t>dp_eth_tx_q5packets</t>
  </si>
  <si>
    <t>Transmit queue 5 packets</t>
  </si>
  <si>
    <t>dp_eth_tx_q6bytes</t>
  </si>
  <si>
    <t>Transmit queue 6 bytes</t>
  </si>
  <si>
    <t>dp_eth_tx_q6packets</t>
  </si>
  <si>
    <t>Transmit queue 6 packets</t>
  </si>
  <si>
    <t>dp_reasm</t>
  </si>
  <si>
    <t xml:space="preserve">Stats from the  "Reassembly" sub-module of the USMAC thread. This is the main processor of upstream Packet Streaming Protocol (PSP) packets from the RPD, which are also known as Physical-Mac Interface (PMI) packets.  It intercepts  and send bandwidth requests to the background ulc-scheduler process and MMM packets to MULPI,  but otherwise forwards all packets via an internal ring to the USPP thread.  
Due to its complexity, there are extensive debug  logs in REASM.  Enable the  USMAC "debug" severity level only for lab testing with a single CM. </t>
  </si>
  <si>
    <t>dp_reasm_bwReqErrors</t>
  </si>
  <si>
    <t>Unable to send bandwidth request to scheduler.</t>
  </si>
  <si>
    <t xml:space="preserve">Probably indicates CPU overloading of scheduler. </t>
  </si>
  <si>
    <t>dp_reasm_ccfHeaderError</t>
  </si>
  <si>
    <t>Dropped PSP fragment due to invalid  CCF (Continuous Concatenation and Forwarding" header.</t>
  </si>
  <si>
    <t>Enable DEBUG severify PmiWarning  logs with "ulc-debug uspp SetLogConfig usmac debug PmiWarning print". Search for log messages from file "ccf.cpp".</t>
  </si>
  <si>
    <t>dp_reasm_cloneMbufs</t>
  </si>
  <si>
    <t>guage</t>
  </si>
  <si>
    <t>Number of mbufs available in the reasm "clone" pool.</t>
  </si>
  <si>
    <t>Consider monitoring for a minimum threshold below which the pod is restarted due to a suspected mbuf leak.</t>
  </si>
  <si>
    <t>dp_reasm_dataPduErrors</t>
  </si>
  <si>
    <t>Failure to send egress PDU to USPP</t>
  </si>
  <si>
    <t>Delay or hang of USPP thread.  Enable DEBUG severity PmiWarning logs with "ulc-debug uspp SetLogConfig usmac debug PmiWarning print". Search for log messages with "Send data pdu error"</t>
  </si>
  <si>
    <t>dp_reasm_dropInvalidPmi</t>
  </si>
  <si>
    <t>Dropped incoming PSP packet due to invalid PMI header.</t>
  </si>
  <si>
    <t xml:space="preserve"> Enable DEBUG severify PmiWarning logs with "ulc-debug uspp SetLogConfig  usmac debug PmiWarning print". Search for log messages from file "ccf.cpp"</t>
  </si>
  <si>
    <t>dp_reasm_dropOutRingFull</t>
  </si>
  <si>
    <t>Dropped outgoing assembled packet because ring to USPP is full.</t>
  </si>
  <si>
    <t xml:space="preserve">Indicates excessive latency, insufficient CPU time, or hang of USPP thread. </t>
  </si>
  <si>
    <t>dp_reasm_dropPmiSequenceErr</t>
  </si>
  <si>
    <t xml:space="preserve">Dropped incoming PSP packet due to invalid sequency error. </t>
  </si>
  <si>
    <t>dp_reasm_dropRandomPmi</t>
  </si>
  <si>
    <t xml:space="preserve">Dropped a random PMI input packet for unit testing. </t>
  </si>
  <si>
    <t>Enable random drops with "ulc-debug uspp SetRandomPmiDrop &lt;per64k&gt;"</t>
  </si>
  <si>
    <t>dp_reasm_dropSchedRingFull</t>
  </si>
  <si>
    <t xml:space="preserve">Dropped intercepted bwreq/AGC/CI  intended for scheduler. </t>
  </si>
  <si>
    <t>Indicates excessive latency, insufficient CPU time, or hang of ulcsched process.</t>
  </si>
  <si>
    <t>dp_reasm_dropUncorrectedFec</t>
  </si>
  <si>
    <t>Dropped PMI segment with uncorrected FEC error.</t>
  </si>
  <si>
    <t>Enable DEBUG severity PmiError logs with "ulc-debug uspp SetLogConfig usmac debug PmiError print".   Check for log messages from file "pmi.cpp" with  "Dropping PSP burst with uncorrected FEC errors".    Logs may be disabled with  "ulc-debug uspp SetLogConfig usmac debug  PmiError none"</t>
  </si>
  <si>
    <t>dp_reasm_dropUnknownFlow</t>
  </si>
  <si>
    <t>Small increments are expected due to race conditions with adding and deleting flows. Continuous increments indicates an internal database inconsistency.  Enable DEBUG severity logs for PmiError with "ulc-debug uspp SetLogConfig usmac debug PmiError print".    Check log messages for "*** Unknown flow".   Disable logs with "ulc-debug uspp SetLogConfig usmac debug  PmiError none"</t>
  </si>
  <si>
    <t>dp_reasm_hcsErrors</t>
  </si>
  <si>
    <t xml:space="preserve">Indicates an upstream DOCSIS header with an HCS error. </t>
  </si>
  <si>
    <t xml:space="preserve">Small increments are normal with dropped incoming PMI segments. Enable DEBUG severify PmiWarning logs  logs with "ulc-debug uspp SetLogConfig usmac debug  PmiWarning print". Check for log message from "docsis.cpp" with string" failed HCS check".  Upstream OFDMA HCS errors are not logged. </t>
  </si>
  <si>
    <t>dp_reasm_headerMbufs</t>
  </si>
  <si>
    <t>Count of free mbufs in "header" mbuf pool.</t>
  </si>
  <si>
    <t>dp_reasm_internalErrors</t>
  </si>
  <si>
    <t>Indicates internal code assertion error.</t>
  </si>
  <si>
    <t xml:space="preserve">Find logs with "REASM_ASSERT" and send to Harmonic . </t>
  </si>
  <si>
    <t>dp_reasm_lowEnergy</t>
  </si>
  <si>
    <t xml:space="preserve">Received PMI segment with "low energy" indication from RPD. </t>
  </si>
  <si>
    <t xml:space="preserve">With significant increases,  need to decrease upstream loss by some or all CMs. </t>
  </si>
  <si>
    <t>dp_reasm_missingCcf</t>
  </si>
  <si>
    <t xml:space="preserve">Skipping missed CCF bursts, indicating a data loss from RPD to Core. </t>
  </si>
  <si>
    <t>To identify the RPD from which PMI packets are being lost, enable DEBUG severity PmiWarning logs with "ulc-debug uspp SetLogConfig  usmac debug  PmiWarning print". Search for log messages from file "ccf.cpp" with the string "Resynchronizing for out-of-order CCF seq".</t>
  </si>
  <si>
    <t>dp_reasm_mmmErrors</t>
  </si>
  <si>
    <t xml:space="preserve">Unable to send MMM message to MULPI. </t>
  </si>
  <si>
    <t xml:space="preserve">Enable DEBUG severity PMI warning logs with "ulc-debug uspp SetLogConfig  usmac debug PmiWarning print". Search for log messages from file "ccf.cpp" with the string "Send mmm pdu error". </t>
  </si>
  <si>
    <t>dp_reasm_noDataSegment</t>
  </si>
  <si>
    <t xml:space="preserve">No data segment received for a scheduled upstream interval. </t>
  </si>
  <si>
    <t xml:space="preserve">The RPD received a UEPI map, but no CM transmitted during that interval. Steadily increasing  counts may indicate upstream RF physical layer issues sending large bursts. Logs (for upstream SCDMA) are enabled by default.   Check for log messages from file "pmi.cpp" with  "No data segment for session ".    Logs may be disabled with  "ulc-debug uspp SetLogConfig usmac error  PmiError none".   No logs are currently generated for OFDMA "no data segment". </t>
  </si>
  <si>
    <t>dp_reasm_noHeaderSegment</t>
  </si>
  <si>
    <t>Received data segment without a header segment.</t>
  </si>
  <si>
    <t>Enable DEBUG severity  PMI warning logs with "ulc-debug uspp SetLogConfig  usmac debug PmiWarning print". Search for log messages from file "pmi.cpp" with the string "PMI DATA segment for unknown or already removed flow".</t>
  </si>
  <si>
    <t>dp_reasm_noMbufs</t>
  </si>
  <si>
    <t>Reasm was unable to obtain a message buffer.</t>
  </si>
  <si>
    <t xml:space="preserve">Reset the pod when this becomes nonzero. </t>
  </si>
  <si>
    <t>dp_reasm_noTrailerSegment</t>
  </si>
  <si>
    <t xml:space="preserve">Received start of burst without trailer for previous burst. </t>
  </si>
  <si>
    <t xml:space="preserve">Indicates PMI packet loss from RPD to Core. </t>
  </si>
  <si>
    <t>dp_reasm_reassemblyErrors</t>
  </si>
  <si>
    <t>Miscellaneous decoding error of DOCSIS header of a packet.</t>
  </si>
  <si>
    <t>Enable DEBUG severity PMI warning logs with "ulc-debug uspp SetLogConfig  usmac debug PmiWarning print". Search for log messages from file "pmi.cpp".  If any message has "REASM ASSERT ERROR", contact Harmonic.</t>
  </si>
  <si>
    <t>dp_reasm_recvPiggybackBwReqSegments</t>
  </si>
  <si>
    <t>Normal piggybacked bandwidth request.</t>
  </si>
  <si>
    <t>dp_reasm_reorderFills</t>
  </si>
  <si>
    <t>Internal filling of burst reorder buffer.</t>
  </si>
  <si>
    <t>May be caused by loss of upstream PMI packets from RPD to core.  Enable DEBUG severity ReceiveCcf logs with "ulc-debug uspp SetLogConfig debug ReceiveCcf print" and search for log messages from file "reasm_reorder.h".</t>
  </si>
  <si>
    <t>dp_reasm_reorderResets</t>
  </si>
  <si>
    <t>Internal reset of burst reorder buffer.</t>
  </si>
  <si>
    <t>Enable DEBUG severity PmiWarning logs with "ulc-debug uspp SetLogConfig debug PmiWarning print" and search for logs from file "ccf.cpp" with string "error reordering CCF burst".</t>
  </si>
  <si>
    <t>dp_reasm_sendBwReqSegments</t>
  </si>
  <si>
    <t>Normally  intercepted bandwidth request segments (i.e. per modem) sent to scheduler.</t>
  </si>
  <si>
    <t>dp_reasm_sendDataClear</t>
  </si>
  <si>
    <t>Normally sent data  packets encrypted with BPI to USPP</t>
  </si>
  <si>
    <t>dp_reasm_sendDataEncrypt</t>
  </si>
  <si>
    <t>Normally sent data packets without BPI encryption to USPP</t>
  </si>
  <si>
    <t>dp_reasm_sendErrors</t>
  </si>
  <si>
    <t>Failure to send intercepted packet to background process.</t>
  </si>
  <si>
    <t>Consider resetting pod on continuous increments.  No log messages.</t>
  </si>
  <si>
    <t>dp_reasm_sendMmm</t>
  </si>
  <si>
    <t>Normally intercepted MMM packets sent to MULPI.</t>
  </si>
  <si>
    <t>dp_reasm_sendRng</t>
  </si>
  <si>
    <t xml:space="preserve">INFO </t>
  </si>
  <si>
    <t>Normally intercepted Ranging requests sent to MULPI.</t>
  </si>
  <si>
    <t>dp_reasm_sendUgsAGC</t>
  </si>
  <si>
    <t>Normally sent Active Grant Control to scheduler.</t>
  </si>
  <si>
    <t>dp_reasm_sendUgsQIC</t>
  </si>
  <si>
    <t xml:space="preserve">Normally set UGS Queue Indictor change to scheduler. </t>
  </si>
  <si>
    <t>dp_reasm_skipLongFill</t>
  </si>
  <si>
    <t>Normal skipping of filled bytes in PSP input.</t>
  </si>
  <si>
    <t>dp_reasm_unexpectedCcf</t>
  </si>
  <si>
    <t xml:space="preserve">Format error in CCF header. </t>
  </si>
  <si>
    <t>Enable DEBUG severity for PmiWarning feature   with "ulc-debug uspp SetLogConfig  usmac debug PmiWarning print". Search for log messages from file "ccf.cpp" with string "Unexpected CCF pointer field".</t>
  </si>
  <si>
    <t>dp_tm</t>
  </si>
  <si>
    <t>dp_tm_csArlSymbolRate</t>
  </si>
  <si>
    <t>ifName=</t>
  </si>
  <si>
    <t>DS channel symbol aggregate rate limit</t>
  </si>
  <si>
    <t>dp_tm_csBcastBytes</t>
  </si>
  <si>
    <t>DS channel broadcast bytes</t>
  </si>
  <si>
    <t>dp_tm_csBcastPackets</t>
  </si>
  <si>
    <t>DS channel broadcast packets</t>
  </si>
  <si>
    <t>dp_tm_csMcastBytes</t>
  </si>
  <si>
    <t>DS channel multicast bytes</t>
  </si>
  <si>
    <t>dp_tm_csMcastPackets</t>
  </si>
  <si>
    <t>DS channel multicast packets</t>
  </si>
  <si>
    <t>dp_tm_csMmmBytes</t>
  </si>
  <si>
    <t>DS channel  MMM bytes</t>
  </si>
  <si>
    <t>dp_tm_csMmmPackets</t>
  </si>
  <si>
    <t>DS channel MMM packets</t>
  </si>
  <si>
    <t>dp_tm_csUcastBytes</t>
  </si>
  <si>
    <t xml:space="preserve">DS channel unicast bytes </t>
  </si>
  <si>
    <t>dp_tm_csUcastPackets</t>
  </si>
  <si>
    <t>DS channel unicast packets</t>
  </si>
  <si>
    <t>dp_tm_csUtilBytes</t>
  </si>
  <si>
    <t>DS channel counted bytes for utilization</t>
  </si>
  <si>
    <t>dp_tm_csUtilSymbols</t>
  </si>
  <si>
    <t>DS channel counted symbols for utilization</t>
  </si>
  <si>
    <t>Channel utillization between scrapes should be reported as dp_tm_csUtilSymbols/dp_tm_csArlSymbolRate.</t>
  </si>
  <si>
    <t>dp_tm_DropPacketsFlowFlush</t>
  </si>
  <si>
    <t>Backlogged packets normally removed when flow is deleted.</t>
  </si>
  <si>
    <t>Snoop with "ulc-debug uspp SnoopSetConfig tm  FlowFlush 0 0"</t>
  </si>
  <si>
    <t>dp_tm_DropPacketsFlowMissmatch</t>
  </si>
  <si>
    <t>Dropped packet due to flow id mismatch</t>
  </si>
  <si>
    <t>Small increments expected during flow add/delete. Constant increment indicate an internal database error requiring an eventual  pod reset. Snoop with "ulc-debug uspp SnoopSetConfig tm  Drop_FlowMissmatch 0 0".</t>
  </si>
  <si>
    <t>dp_tm_DropPacketsFlowQueueFull</t>
  </si>
  <si>
    <t xml:space="preserve">Normal dropping of packets for a flow exceeding its maximum permitted number of backlogged packets. </t>
  </si>
  <si>
    <t xml:space="preserve">Abnormally high rates may occur due to misconfigured maximum downsteam traffic rate for the flow. </t>
  </si>
  <si>
    <t>dp_tm_DropPacketsIllegalChannel</t>
  </si>
  <si>
    <t>Dropped packet due to invalid channel ID.</t>
  </si>
  <si>
    <t>Small increments may occur when channels are added/delete. Contant increments indicate an internal databases error requiring an eventual pod reset.  Snoop dropped packets  with "ulc-debug uspp SnoopSetConfig tm  DropIllegalChannel 0 0"</t>
  </si>
  <si>
    <t>dp_tm_DropPacketsMbufClassLimit</t>
  </si>
  <si>
    <t>Dropped due to mbuf class limit exceeded.</t>
  </si>
  <si>
    <t xml:space="preserve">TM limits the fraction of message buffers to different "classes" of flows, e.g. MMMs, subscriber flows, multicast flows, etc.  </t>
  </si>
  <si>
    <t>dp_tm_InPackets</t>
  </si>
  <si>
    <t>Total packets input from DSENC</t>
  </si>
  <si>
    <t>dp_tm_outHighPrioDrops</t>
  </si>
  <si>
    <t>High Priority (maps) dropped forwarding to DSMAC.</t>
  </si>
  <si>
    <t>Due to high latency or high CPU usage of DSMAC thread.</t>
  </si>
  <si>
    <t>dp_tm_outHighPrioPackets</t>
  </si>
  <si>
    <t>High priority (maps) packes forwarded  to DSMAC</t>
  </si>
  <si>
    <t>dp_tm_outLowPrioDrops</t>
  </si>
  <si>
    <t>Low priority (subscriber) packets dropped forwarding to DSMAC</t>
  </si>
  <si>
    <t>dp_tm_outLowPrioPackets</t>
  </si>
  <si>
    <t>Low priority (subscriber) packets forwarded   to DSMAC</t>
  </si>
  <si>
    <t>dp_usmac</t>
  </si>
  <si>
    <t>dp_usmac_burstBytesPerSec</t>
  </si>
  <si>
    <t>ifName</t>
  </si>
  <si>
    <t>US logical channel capacity in bytes per second at current modulation profile</t>
  </si>
  <si>
    <t>dp_usmac_dpdk_lag_dsi_inKniErrors</t>
  </si>
  <si>
    <t>Errors reading  locally generated packets (mulpi/scheduler/ptpd) via KNI</t>
  </si>
  <si>
    <t>See logs from fjle "NetControl.cpp" with string "read error"</t>
  </si>
  <si>
    <t>dp_usmac_dpdk_lag_dsi_inKniPkts</t>
  </si>
  <si>
    <t>Normally read locally generated packets from mulpi/scheduler/ptpd</t>
  </si>
  <si>
    <t>dp_usmac_dpdk_lag_dsi_outPortErrors</t>
  </si>
  <si>
    <t>Failure to send intercepted packets to  local mulpi/scheduler/ptpd</t>
  </si>
  <si>
    <t>No logs available.</t>
  </si>
  <si>
    <t>dp_usmac_dpdk_lag_dsi_outPortPkts</t>
  </si>
  <si>
    <t>Normally sent internal packets  (from mulpi/scheduler/ptpd)  to DSI lag port.</t>
  </si>
  <si>
    <t>dp_usmac_inAppFftPkts</t>
  </si>
  <si>
    <t xml:space="preserve">Normally received FFT packets from FFT session id 0xC0. </t>
  </si>
  <si>
    <t>dp_usmac_inBdwReqPkts</t>
  </si>
  <si>
    <t xml:space="preserve"> Packets received on any bandwidth request pseudowire from an RPD. </t>
  </si>
  <si>
    <t>dp_usmac_inBroadcastPkts</t>
  </si>
  <si>
    <t>Broadcast packets received from DSI</t>
  </si>
  <si>
    <t>dp_usmac_inDataPkts</t>
  </si>
  <si>
    <t xml:space="preserve">Packets received on any data pseudowire (SCQAM or OFDMA) from an RPD. </t>
  </si>
  <si>
    <t>dp_usmac_inDataVlanPkts</t>
  </si>
  <si>
    <t>Packets received on DSI VLAN (or PTP input)</t>
  </si>
  <si>
    <t>dp_usmac_inDepiControlPkts</t>
  </si>
  <si>
    <t>DEPI control packets (on l2tpv3 session id 0) from any RPD.</t>
  </si>
  <si>
    <t>dp_usmac_inDisabledMdDrops</t>
  </si>
  <si>
    <t>DSI input packets dropped from disable mac domain</t>
  </si>
  <si>
    <t>May have small increments during mac domain create/destroy.  Snoop with "ulc-debug uspp SnoopSetConfig usmac Drop_DisabledMd 0 0".</t>
  </si>
  <si>
    <t>dp_usmac_inDropNonLcce</t>
  </si>
  <si>
    <t>Dropped DSI packet to mac address other than an LCCE.</t>
  </si>
  <si>
    <t>Snoop with ulc-debug uspp SnoopSetConfig usmac Drop_NonLcce 0 0")</t>
  </si>
  <si>
    <t>dp_usmac_inDropUnknownSession</t>
  </si>
  <si>
    <t>Dropped DSI packet for an unknown L2TPv3 session ID.</t>
  </si>
  <si>
    <t xml:space="preserve">Small increments are normal during RPD attache/detach.  Continuous increments indicate a DEPI control plane error between the Core and RPD.   Enable DEBUG severity USMAC logs with "ulc-debug uspp SetLogConfig usmac debug PmiError print" and check for logs from file "UsMac.cpp" with string "Failed to find session for tuple". Snoop with "ulc-debug uspp SnoopSetConfig usmac Drop_UnknownSession 0 0". </t>
  </si>
  <si>
    <t>dp_usmac_inMulticastPkts</t>
  </si>
  <si>
    <t>Multicast packets received from DSI</t>
  </si>
  <si>
    <t xml:space="preserve">Forwarded to KNI for local processing. </t>
  </si>
  <si>
    <t>dp_usmac_inNonIpPkts</t>
  </si>
  <si>
    <t>Non-IP packets received from DSI</t>
  </si>
  <si>
    <t>dp_usmac_inNonL2TPPkts</t>
  </si>
  <si>
    <t>IP, but not L2TPv3, packets from DSI.</t>
  </si>
  <si>
    <t>dp_usmac_inNonLocalAdminPkts</t>
  </si>
  <si>
    <t>DSI packets to non-LCCE mac address.</t>
  </si>
  <si>
    <t xml:space="preserve">LCCE macs are assigned a locally-administered MAC address starting with 0x02. </t>
  </si>
  <si>
    <t>dp_usmac_inPtpAnnouncePkts</t>
  </si>
  <si>
    <t>Received PTP Announce packets</t>
  </si>
  <si>
    <t>dp_usmac_inPtpDelayReqDiscardedPkts</t>
  </si>
  <si>
    <t>Discarded PTP Delay Request packets from another PTP client.</t>
  </si>
  <si>
    <t xml:space="preserve">Snoop with ulc-debug uspp SnoopSetConfig usmac Drop_PtpDiscarded 0 0". </t>
  </si>
  <si>
    <t>dp_usmac_inPtpDelayRespDiscardedPkts</t>
  </si>
  <si>
    <t>Discarded PTP Delay Response packets from another PTP client.</t>
  </si>
  <si>
    <t>Snoop with "ulc-debug uspp SnoopSetConfig usmac Drop_PtpDiscarded 0 0".</t>
  </si>
  <si>
    <t>dp_usmac_inPtpDelayRespPkts</t>
  </si>
  <si>
    <t>Received PTP Delay Response packets.</t>
  </si>
  <si>
    <t>dp_usmac_inPtpDroppedSyncPkts</t>
  </si>
  <si>
    <t>Dropped SYNC packet due to mismatch between unicast and multicast PTP configuration.</t>
  </si>
  <si>
    <t>Check and correct PTP unicast/multicast configuration.  Snoop with "ulc-debug uspp SnoopSetConfig usmac Drop_PtpDiscarded 0 0".</t>
  </si>
  <si>
    <t>dp_usmac_inPtpFollowupPkts</t>
  </si>
  <si>
    <t>Received PTP Follow-up packets</t>
  </si>
  <si>
    <t>dp_usmac_inPtpStampedSyncPkts</t>
  </si>
  <si>
    <t>Received PTP timestamped SYNC packets</t>
  </si>
  <si>
    <t>dp_usmac_inRngReqPkts</t>
  </si>
  <si>
    <t xml:space="preserve">Packets received on any range request pseudowire from an RPD. </t>
  </si>
  <si>
    <t>dp_usmac_inUnknownVlanPkts</t>
  </si>
  <si>
    <t>Ethernet input packets with unknown VLAN tag.</t>
  </si>
  <si>
    <t>dp_usmac_inUntaggedPkts</t>
  </si>
  <si>
    <t>Ethernet input packets without a VLAN tag.</t>
  </si>
  <si>
    <t>dp_usmac_outDataTapErrors</t>
  </si>
  <si>
    <t xml:space="preserve">Failed to deliver DSI input packets to KNI for local processing.  </t>
  </si>
  <si>
    <t xml:space="preserve">All unhandled tagged packets may be snooped with "ulc-debug uspp SnoopSetConfig usmac TrapDpdkLagDsi 0 0". </t>
  </si>
  <si>
    <t>dp_usmac_outDataTapPkts</t>
  </si>
  <si>
    <t xml:space="preserve">Normally delivered DSI packets  to KNI for local processing. (DEPI, PTP). </t>
  </si>
  <si>
    <t xml:space="preserve">All DSI packets canbe snooped with "ulc-debug uspp SnoopSetConfig usmac DataIn 0 0".  
Unhandled tagged packets may be snooped with "ulc-debug uspp SnoopSetConfig usmac TrapDpdkLagDsi 0 0". </t>
  </si>
  <si>
    <t>dp_usmac_outPtpDelayReqPkts</t>
  </si>
  <si>
    <t>Transmitted PTP Delay Request packets</t>
  </si>
  <si>
    <t>dp_usmac_outPtpDelayReqPktsDrops</t>
  </si>
  <si>
    <t>Failed transmits of PTP Delay Request packets</t>
  </si>
  <si>
    <t>dp_usmac_processPkts</t>
  </si>
  <si>
    <t xml:space="preserve"> Total incoming packets processed by USMAC</t>
  </si>
  <si>
    <t>dp_usmac_PtpFreqOffset</t>
  </si>
  <si>
    <t>PTP frequency offset (in nanoseconds)</t>
  </si>
  <si>
    <t>dp_usmac_PtpPhaseOffset</t>
  </si>
  <si>
    <t>PTP phase offset</t>
  </si>
  <si>
    <t>Units?</t>
  </si>
  <si>
    <t>dp_usmac_us_bwReqs</t>
  </si>
  <si>
    <t>Per-upstream channel bandwidth requests.</t>
  </si>
  <si>
    <t>dp_usmac_us_corrected_fec</t>
  </si>
  <si>
    <t>Per-upstream-channel corrected FEC blocks</t>
  </si>
  <si>
    <t>dp_usmac_us_good_fec</t>
  </si>
  <si>
    <t>Per-upstream-channel good FEC blocks</t>
  </si>
  <si>
    <t>dp_usmac_us_inBcastBytes</t>
  </si>
  <si>
    <t>Per-upstream-channel broadcast bytes</t>
  </si>
  <si>
    <t>dp_usmac_us_inBcastPkts</t>
  </si>
  <si>
    <t>Per-upstream-channel broadcast packets</t>
  </si>
  <si>
    <t>dp_usmac_us_inDiscardedBytes</t>
  </si>
  <si>
    <t>Warn</t>
  </si>
  <si>
    <t>Per-upstream-channel discarded bytes</t>
  </si>
  <si>
    <t>dp_usmac_us_inDiscards</t>
  </si>
  <si>
    <t>Per-upstream-channel discarded packets</t>
  </si>
  <si>
    <t>dp_usmac_us_inErrors</t>
  </si>
  <si>
    <t>Per-upstream-channel input errors</t>
  </si>
  <si>
    <t>dp_usmac_us_inMcastBytes</t>
  </si>
  <si>
    <t>Per-upstream-channel multicast bytes</t>
  </si>
  <si>
    <t>dp_usmac_us_inMcastPkts</t>
  </si>
  <si>
    <t>Per-upstream-channel multicast packets</t>
  </si>
  <si>
    <t>dp_usmac_us_inMmmBytes</t>
  </si>
  <si>
    <t>Per-upstream-channel MMM bytes</t>
  </si>
  <si>
    <t>dp_usmac_us_inMmmPkts</t>
  </si>
  <si>
    <t>Per-upstream-channel MMM packets</t>
  </si>
  <si>
    <t>dp_usmac_us_inOctets</t>
  </si>
  <si>
    <t>Per-upstream-channel input octets</t>
  </si>
  <si>
    <t>dp_usmac_us_inUcastBytes</t>
  </si>
  <si>
    <t>Per-upstream-channel input unicast bytes</t>
  </si>
  <si>
    <t>dp_usmac_us_inUcastPkts</t>
  </si>
  <si>
    <t>Per-upstream-channel input unicast packets</t>
  </si>
  <si>
    <t>dp_usmac_us_rangeReqs</t>
  </si>
  <si>
    <t>Per-upstream-channel range requests</t>
  </si>
  <si>
    <t>dp_usmac_us_uncorrected_fec</t>
  </si>
  <si>
    <t>Per-upstream-channel uncorrected FEC blocks</t>
  </si>
  <si>
    <t>dp_uspp</t>
  </si>
  <si>
    <t>dp_uspp_dpdkNsi_inKniErrors</t>
  </si>
  <si>
    <t>KNI input  Packets intended for NSI  discarded for error.</t>
  </si>
  <si>
    <t>dp_uspp_dpdkNsi_inKniPkts</t>
  </si>
  <si>
    <t>KNI input  Packets intended for  NSI received normally.</t>
  </si>
  <si>
    <t>dp_uspp_dpdkNsi_outPortErrors</t>
  </si>
  <si>
    <t>Failed to transmit locally  generated packets onto NSI LAG.</t>
  </si>
  <si>
    <t>dp_uspp_dpdkNsi_outPortPkts</t>
  </si>
  <si>
    <t>Locally generated transmit packets for NSI LAG.</t>
  </si>
  <si>
    <t>dp_uspp_dropBlocked</t>
  </si>
  <si>
    <t>Dropped packets from a blocked (unauthorized) CPE</t>
  </si>
  <si>
    <t>Snoop with "ulc-debug uspp SnoopSetConfig uspp Drop_Blocked 0 0"</t>
  </si>
  <si>
    <t>dp_uspp_dropFiltered</t>
  </si>
  <si>
    <t>Dropped upstream packets due to subscriber mgmt filters.</t>
  </si>
  <si>
    <t>Snoop with "ulc-debug uspp SnoopSetConfig uspp Drop_Filtered 0 0"</t>
  </si>
  <si>
    <t>dp_uspp_dropSav</t>
  </si>
  <si>
    <t>Dropped packet from unauthorized source IP address (Source Address Verification)</t>
  </si>
  <si>
    <t>Snoop with "ulc-debug uspp SnoopSetConfig uspp Drop_Sav 0 0"</t>
  </si>
  <si>
    <t>dp_uspp_dropUnknownMac</t>
  </si>
  <si>
    <t>Drop upstream packet to unknown destination MAC</t>
  </si>
  <si>
    <t>Enable logs with "ulc-debug uspp SetLogConfig uspp trace Sav print" and search for logs from file "Uspp.cpp" with string "Mac Filtering Failed". Snoop with "ulc-debug uspp SnoopSetConfig uspp Drop_UnknownMac 0 0".</t>
  </si>
  <si>
    <t>dp_uspp_encryptedPkts</t>
  </si>
  <si>
    <t>Received encrypted BPI packets</t>
  </si>
  <si>
    <t>dp_uspp_freeMbufs</t>
  </si>
  <si>
    <t xml:space="preserve"> gauge</t>
  </si>
  <si>
    <t>Number of free mbufs in main packet mbuf pool.</t>
  </si>
  <si>
    <t xml:space="preserve">Consider monitoring an restarting pod when this falls below a threshold, e.g. 10% of its initial value. </t>
  </si>
  <si>
    <t>dp_uspp_noMbufs</t>
  </si>
  <si>
    <t xml:space="preserve">Failed to allocation mbuf </t>
  </si>
  <si>
    <t>dp_uspp_pullUpPkts</t>
  </si>
  <si>
    <t>Number of packets received from REASM with data "pulled up" into a single mbuf.</t>
  </si>
  <si>
    <t>dp_uspp_qatQueueFull</t>
  </si>
  <si>
    <t>Dropped packets due to full queue to encryption hardware module</t>
  </si>
  <si>
    <t>dp_uspp_taggedPacket</t>
  </si>
  <si>
    <t>Packet dropped due to L2VPN ethertype filtering.</t>
  </si>
  <si>
    <t>Snoop with "ulc-debug uspp SnoopSetConfig uspp Drop_TaggedPacket 0 0".</t>
  </si>
  <si>
    <t>dp_uspp_trapRingDropped</t>
  </si>
  <si>
    <t>Unable to send trapped packet to background.</t>
  </si>
  <si>
    <t xml:space="preserve">May indicate a denial-of-service attack.  May need to lower protocol throttle limits. </t>
  </si>
  <si>
    <t>dp_uspp_unknownCpeRequestsDroppedIpv4</t>
  </si>
  <si>
    <t>Dropped DHCP leasequery request for unknown IPv4 CPE IP due to throttling.</t>
  </si>
  <si>
    <t xml:space="preserve">Enable logs with "ulc-debug uspp SetLogConfig uspp trace Filtering print" and search for logs from file "Uspp.cpp" with string "DHCP LQ IPv4 drop". </t>
  </si>
  <si>
    <t>dp_uspp_unknownCpeRequestsDroppedIpv6</t>
  </si>
  <si>
    <t xml:space="preserve">Dropped  DHCP leasequery request for unknown IPv6 CPE IP due to throttling. </t>
  </si>
  <si>
    <t>dp_uspp_unknownCpeRequestsSentIpv4</t>
  </si>
  <si>
    <t>Sent DHCP leasequery  request for unknown IPv4 CPE IP.</t>
  </si>
  <si>
    <t>dp_uspp_unknownCpeRequestsSentIpv6</t>
  </si>
  <si>
    <t>dp_uspp_usppInPkts</t>
  </si>
  <si>
    <t>Input packets from USPP</t>
  </si>
  <si>
    <t>dp_uspp_usppOutErrors</t>
  </si>
  <si>
    <t>Unable to transmit output to Ethernet LAG NSI.</t>
  </si>
  <si>
    <t>dp_uspp_usppOutPkts</t>
  </si>
  <si>
    <t xml:space="preserve">Transmitted packets to Ethernet LAG NSI </t>
  </si>
  <si>
    <t>All USPP output packet attempts (successful or not) may be snooped with "ulc-debug uspp SnoopSetConfig uspp DataOut 0 0"</t>
  </si>
  <si>
    <t>dp_uspp_usppQatErrors</t>
  </si>
  <si>
    <t>Errors receiving packet from encryption hardware.</t>
  </si>
  <si>
    <t>dp_uspp_wrongEtherType</t>
  </si>
  <si>
    <t xml:space="preserve">Dropped L2VPN packet due to unsupported EtherType field. </t>
  </si>
  <si>
    <t>Snoop with "ulc-debug uspp SnoopSetConfig uspp Drop_WrongEtherType 0 0</t>
  </si>
  <si>
    <t>dp_Version</t>
  </si>
  <si>
    <t>Value is always 0.</t>
  </si>
  <si>
    <t xml:space="preserve">"version" label is the Debian version of the package "ulc-uspp-dpdk". </t>
  </si>
  <si>
    <t>Protocol filters</t>
  </si>
  <si>
    <t>In order to prevent denial of service attacks, the  Data Path supports a feature to throttle the delivery of particular protocols to local background processing.  The feature is configured with the global CLI configuration "system proto-throttle &lt;protocol&gt; max-burst-pkts &lt;n&gt; rate-pps &lt;n&gt;</t>
  </si>
  <si>
    <t>dp_dspp_ARP_REQ_Drops</t>
  </si>
  <si>
    <t>Number of downstream ARP requests dropped due to throttling</t>
  </si>
  <si>
    <t>dp_dspp_ARP_REQ_Pkts</t>
  </si>
  <si>
    <t>Number of downstream ARP requests forwarded for background processing.</t>
  </si>
  <si>
    <t>dp_dspp_ARP_RSP_Drops</t>
  </si>
  <si>
    <t>Number of downstream ARP responses dropped due to throttling</t>
  </si>
  <si>
    <t>dp_dspp_ARP_RSP_Pkts</t>
  </si>
  <si>
    <t>Number of downstream ARP responses forwarded for background processing.</t>
  </si>
  <si>
    <t>dp_dspp_DHCP_Drops</t>
  </si>
  <si>
    <t>Number of downstream IPv4 DHCP packets dropped due to throttling</t>
  </si>
  <si>
    <t>dp_dspp_DHCP_Pkts</t>
  </si>
  <si>
    <t>Number of downstream IPv4 DHCP packets forwarded for background processing.</t>
  </si>
  <si>
    <t>dp_dspp_DHCPV6_Drops</t>
  </si>
  <si>
    <t>Number of downstream IPv6 DHCP packets dropped due to throttling</t>
  </si>
  <si>
    <t>dp_dspp_DHCPV6_Pkts</t>
  </si>
  <si>
    <t>Number of downstream IPv6 DHCP forwarded for background processing.</t>
  </si>
  <si>
    <t>dp_dspp_IGMP_Drops</t>
  </si>
  <si>
    <t>Number of downstream IGMP (IPv4 Multicast control) packets dropped due to throttling</t>
  </si>
  <si>
    <t>dp_dspp_IGMP_Pkts</t>
  </si>
  <si>
    <t>Number of downstream IGMP (IPv4 multicast control) packets  forwarded for background processing.</t>
  </si>
  <si>
    <t>dp_dspp_ND_REQ_Drops</t>
  </si>
  <si>
    <t>Number of downstream IPv6 Neighbor Discovery  requests dropped due to throttling</t>
  </si>
  <si>
    <t>dp_dspp_ND_REQ_Pkts</t>
  </si>
  <si>
    <t>Number of downstream IPv6 Neighbor Discover requests forwarded for background processing.</t>
  </si>
  <si>
    <t>dp_dspp_ND_RSP_Drops</t>
  </si>
  <si>
    <t>Number of downstream IPv6 Neighbor Discovery responses dropped due to throttling</t>
  </si>
  <si>
    <t>dp_dspp_ND_RSP_Pkts</t>
  </si>
  <si>
    <t>Number of downstream IPv6 Neighbor Discovery responses forwarded for background processing.</t>
  </si>
  <si>
    <t>dp_dspp_MLD_Drops</t>
  </si>
  <si>
    <t>Number of downstream IPv6 MLD (multicast control) packets dropped due to throttling</t>
  </si>
  <si>
    <t>dp_dspp_MLD_Pkts</t>
  </si>
  <si>
    <t>Number of downstream IPv6 MLD (multicast control)  packets forwarded for background processing.</t>
  </si>
  <si>
    <t>dp_dspp_OTHER_Drops</t>
  </si>
  <si>
    <t>Number of downstream unidentified protocol packets  dropped due to throttling</t>
  </si>
  <si>
    <t>dp_dspp_OTHER_Pkts</t>
  </si>
  <si>
    <t>Number of downstream unidentified protocol packets forwarded for background processing.</t>
  </si>
  <si>
    <t>dp_dspp_RIP_Drops</t>
  </si>
  <si>
    <t>Number of downstream RIP packets dropped due to throttling</t>
  </si>
  <si>
    <t>dp_dspp_RIP_Pkts</t>
  </si>
  <si>
    <t>Number of downstream RIP packets forwarded for background processing.</t>
  </si>
  <si>
    <t>dp_dspp_TOTAL_Drops</t>
  </si>
  <si>
    <t>Total number of downstream packets dropped due to throttling of protocol packets for background processing</t>
  </si>
  <si>
    <t>dp_dspp_TOTAL_Pkts</t>
  </si>
  <si>
    <t>Total number of downstream packets  forwarded for background processing.</t>
  </si>
  <si>
    <t>dp_uspp_ARP_REQ_Drops</t>
  </si>
  <si>
    <t>Number of upstream ARP requests dropped due to throttling</t>
  </si>
  <si>
    <t>dp_uspp_ARP_REQ_Pkts</t>
  </si>
  <si>
    <t>Number of upstream ARP requests forwarded for background processing.</t>
  </si>
  <si>
    <t>dp_uspp_ARP_RSP_Drops</t>
  </si>
  <si>
    <t>Number of upstream ARP responses dropped due to throttling</t>
  </si>
  <si>
    <t>dp_uspp_ARP_RSP_Pkts</t>
  </si>
  <si>
    <t>Number of upstream ARP responses forwarded for background processing.</t>
  </si>
  <si>
    <t>dp_uspp_DHCP_Drops</t>
  </si>
  <si>
    <t>Number of upstream IPv4 DHCP packets dropped due to throttling</t>
  </si>
  <si>
    <t>dp_uspp_DHCP_Pkts</t>
  </si>
  <si>
    <t>Number of upstream IPv4 DHCP packets forwarded for background processing.</t>
  </si>
  <si>
    <t>dp_uspp_DHCPV6_Drops</t>
  </si>
  <si>
    <t>Number of upstream IPv6 DHCP packets dropped due to throttling</t>
  </si>
  <si>
    <t>dp_uspp_DHCPV6_Pkts</t>
  </si>
  <si>
    <t>Number of upstream IPv6 DHCP forwarded for background processing.</t>
  </si>
  <si>
    <t>dp_uspp_IGMP_Drops</t>
  </si>
  <si>
    <t>Number of upstream IGMP (IPv4 Multicast control) packets dropped due to throttling</t>
  </si>
  <si>
    <t>dp_uspp_IGMP_Pkts</t>
  </si>
  <si>
    <t>Number of upstream IGMP (IPv4 multicast control) packets  forwarded for background processing.</t>
  </si>
  <si>
    <t>dp_uspp_MLD_Drops</t>
  </si>
  <si>
    <t>Number of upstream IPv6 Neighbor Discovery  requests dropped due to throttling</t>
  </si>
  <si>
    <t>dp_uspp_MLD_Pkts</t>
  </si>
  <si>
    <t>Number of upstream IPv6 Neighbor Discover requests forwarded for background processing.</t>
  </si>
  <si>
    <t>dp_uspp_ND_REQ_Drops</t>
  </si>
  <si>
    <t>Number of upstream IPv6 Neighbor Discovery responses dropped due to throttling</t>
  </si>
  <si>
    <t>dp_uspp_ND_REQ_Pkts</t>
  </si>
  <si>
    <t>Number of upstream IPv6 Neighbor Discovery responses forwarded for background processing.</t>
  </si>
  <si>
    <t>dp_uspp_ND_RSP_Drops</t>
  </si>
  <si>
    <t>Number of upstream IPv6 MLD (multicast control) packets dropped due to throttling</t>
  </si>
  <si>
    <t>dp_uspp_ND_RSP_Pkts</t>
  </si>
  <si>
    <t>Number of upstream IPv6 MLD (multicast control)  packets forwarded for background processing.</t>
  </si>
  <si>
    <t>dp_uspp_OTHER_Drops</t>
  </si>
  <si>
    <t>Number of upstream unidentified protocol packets  dropped due to throttling</t>
  </si>
  <si>
    <t>dp_uspp_OTHER_Pkts</t>
  </si>
  <si>
    <t>Number of upstream unidentified protocol packets forwarded for background processing.</t>
  </si>
  <si>
    <t>dp_uspp_RIP_Drops</t>
  </si>
  <si>
    <t>Number of upstream RIP packets dropped due to throttling</t>
  </si>
  <si>
    <t>dp_uspp_RIP_Pkts</t>
  </si>
  <si>
    <t>Number of upstream RIP packets forwarded for background processing.</t>
  </si>
  <si>
    <t>dp_uspp_TOTAL_Drops</t>
  </si>
  <si>
    <t>Total number of upstream packets dropped due to throttling of protocol packets for background processing</t>
  </si>
  <si>
    <t>dp_uspp_TOTAL_Pkts</t>
  </si>
  <si>
    <t>Total number of upstream packets  forwarded for background processing.</t>
  </si>
  <si>
    <t>(dp_dsQos)</t>
  </si>
  <si>
    <t>(These metrics are currently omitted for scaling reasons. )</t>
  </si>
  <si>
    <t>These metrics provide information from the engineering shell command "ulc-debug uspp ShowDsQos" (Added with CBLOS-19265)</t>
  </si>
  <si>
    <t>dp_DsQos_droppedPkts</t>
  </si>
  <si>
    <t>rpdName
mdName
cmMacAddr
tmFlowId
mulpiSfId
sfIndex
dir
qSizePkts</t>
  </si>
  <si>
    <t xml:space="preserve">Absolute count of packets dropped from the queue. </t>
  </si>
  <si>
    <t xml:space="preserve">rpdName = Rpd with the mac domain
mdName = Mac domain name
cmMacAddr = For group (multiple CM)  SFs, all zeros. 
    For individual (single CM) SFs, the CM MAC address. 
tmFlowId  = TM ds flow index
mulpiSfId = For group SFs, the mulpi SFID. For individual SFs, empty string. 
    This is to avoid series growth on CM re-registration.
sfIndex = For individual(per-CM) SFs.
dir = { "downstream" | "upstream" }
qSizePkts = maximum size of SF's queue, in count of packets. </t>
  </si>
  <si>
    <t>dp_dsQos_highWaterPkts</t>
  </si>
  <si>
    <t xml:space="preserve">Highest number of packets every enqueued on TM's SF queue.  Currently, only cleared with the shell command "ulc-debug uspp ClearDsQos". </t>
  </si>
  <si>
    <t>dp_dsQos_tmFlowId</t>
  </si>
  <si>
    <t>rpdName
mdName
cmMacAddr
tmFlowId
mulpiSfId
sfIndex
dir
qSizePkts
dsQosClass
mbufClass
sysDcsId
weight</t>
  </si>
  <si>
    <t xml:space="preserve">Labels provide long-lived information about the SF.  Value is the tmFlowId. </t>
  </si>
  <si>
    <t xml:space="preserve">rpdName = Rpd with the mac domain
mdName = Mac domain name
cmMacAddr = For group (multiple CM)  SFs, all zeros. 
    For individual (single CM) SFs, the CM MAC address. 
tmFlowId  = TM ds flow index
mulpiSfId = For group SFs, the mulpi SFID. For individual SFs, empty string. 
    This is to avoid series growth on CM re-registration.
sfIndex = For individual(per-CM) SFs.
dir = { "downstream" | "upstream" }
qSizePkts = maximum size of SF's queue, in count of packets. 
dsQosClass = name of the Ds QOS Class for the flow.
mbufClass = name of the MBUF (message buffer) allocation class
sysDcsId = System Downstream Channel Set ID, in hex with leading "0x"
weight = Weighted Fair Queueing (WFQ) weight in range 0..100.  Under congestion,  flows with more weight get higher fractions of bandwidth. </t>
  </si>
  <si>
    <t>Scheduler Application Telemetry</t>
  </si>
  <si>
    <t>* Service Telemetry metrics intended for Kafka streaming start with "K_".</t>
  </si>
  <si>
    <t xml:space="preserve">* Applications  must implement counters reported to Telemd as absolute monotonically-increasing 64-bit values with Metric type "counter". </t>
  </si>
  <si>
    <t>* Note that since all Prometheus Metrics have a double-precision floating-point value,  integer counters have only  56 bits of precision.</t>
  </si>
  <si>
    <t xml:space="preserve">* Telemd reports  counters starting with "K_" to each listener as a "delta" value since its last report to that  listener.  The K_ "delta" counters  are reported with Prometheus Metric type  "gauge" since they vary up and down. </t>
  </si>
  <si>
    <t xml:space="preserve">* All "mdName"  labels  must be of the form "x:y/p.d". </t>
  </si>
  <si>
    <t xml:space="preserve">* "thread" label is pod-specific thread instance in decimal, starting with "0".  In VCMTS, "thread" is always 0, with separate pods for different schedulers.  CableOS has multiple scheduler threads on a core server. </t>
  </si>
  <si>
    <t xml:space="preserve">* Scheduler maintains histogram counters as 32-bit counters.    Telemd may have several readers,  each of which may send an on-demand "GetStats()" call to scheduler.  Telemd selects one reader to be the "zeroing" reader, and sends a (new) GetStatsZero() call to scheduler just for  that reader. For GetStatsZero(), scheduler clears its histogram counters and restarts min/max/average gauges.  For a non-zeroing GetStats() call, Scheduler client must  repeat the (cached) last-reported histogram counts  from the  last GetStatsZero() call.   For non-histogram counters, Scheduler must accumulate the 32-bit counters (e.g. requests) into 64-bit counters reported to TelemD. </t>
  </si>
  <si>
    <r>
      <rPr>
        <sz val="11"/>
        <rFont val="Calibri"/>
        <family val="2"/>
        <charset val="1"/>
      </rPr>
      <t xml:space="preserve">* Logging BW Requests. Bandwidth requests from one particular SID on one particular mac domain can be enabled with three "ulc-debug sched SetDebugLevel  &lt;debug#&gt; &lt;value&gt;" commands:
    &lt;debug#&gt;   &lt;value&gt;
   26                   mdId, e.g. 0x01020000  for "cable mac-domain 1:2/0.0"
   27                   sid range  -- If 0, enables error logs only for </t>
    </r>
    <r>
      <rPr>
        <i/>
        <sz val="11"/>
        <rFont val="Calibri"/>
        <family val="2"/>
        <charset val="1"/>
      </rPr>
      <t>any</t>
    </r>
    <r>
      <rPr>
        <sz val="11"/>
        <rFont val="Calibri"/>
        <family val="2"/>
        <charset val="1"/>
      </rPr>
      <t xml:space="preserve"> SID. 
                                                   Otherwise, it enables all logs for the sid range  0x</t>
    </r>
    <r>
      <rPr>
        <i/>
        <sz val="11"/>
        <rFont val="Calibri"/>
        <family val="2"/>
        <charset val="1"/>
      </rPr>
      <t>mmmmnnnn</t>
    </r>
    <r>
      <rPr>
        <sz val="11"/>
        <rFont val="Calibri"/>
        <family val="2"/>
        <charset val="1"/>
      </rPr>
      <t xml:space="preserve">  where   0x</t>
    </r>
    <r>
      <rPr>
        <i/>
        <sz val="11"/>
        <rFont val="Calibri"/>
        <family val="2"/>
        <charset val="1"/>
      </rPr>
      <t xml:space="preserve">mmmm </t>
    </r>
    <r>
      <rPr>
        <sz val="11"/>
        <rFont val="Calibri"/>
        <family val="2"/>
        <charset val="1"/>
      </rPr>
      <t>is the lowest logged SID and 0x</t>
    </r>
    <r>
      <rPr>
        <i/>
        <sz val="11"/>
        <rFont val="Calibri"/>
        <family val="2"/>
        <charset val="1"/>
      </rPr>
      <t>nnnn</t>
    </r>
    <r>
      <rPr>
        <sz val="11"/>
        <rFont val="Calibri"/>
        <family val="2"/>
        <charset val="1"/>
      </rPr>
      <t xml:space="preserve">  is the highest logged SID, e.g. 0x00030003 to log requests for SID 3
   28                   count   -- number of requests to log, e.g. 10</t>
    </r>
  </si>
  <si>
    <t>* Only the "active" scheduler sends metrics with mdName.  Both active and standby schedulers send metrics without mdName.</t>
  </si>
  <si>
    <t>Recommended
scrape or push
interval</t>
  </si>
  <si>
    <t>App-&gt;
Telemd
Metric Type</t>
  </si>
  <si>
    <t>Telemd-&gt;
Listener
Metric Type</t>
  </si>
  <si>
    <t>Scheduler has 335 occurrencs of "codeTimer_COUNT".  Don't read all of them if it takes a lock.</t>
  </si>
  <si>
    <t>sched_UM_WkLate</t>
  </si>
  <si>
    <t xml:space="preserve">Histogram of Map wakeups late, causing "dead" time upstream of at least 100 microseconds.  Normal during upstream reconfiguration.  Later letters (A, B, C…)  are worse. </t>
  </si>
  <si>
    <t>sched_UM_WkLateA_lt_2tms</t>
  </si>
  <si>
    <t>thread</t>
  </si>
  <si>
    <t>Map wakeups late by 0 to 0.2 msec</t>
  </si>
  <si>
    <t xml:space="preserve"> </t>
  </si>
  <si>
    <t>sched_UM_WkLateB_2to5tms</t>
  </si>
  <si>
    <t>Map wakeups late by 0.2 to 0.5 msec</t>
  </si>
  <si>
    <t>sched_UM_WkLateC_5to10_tms</t>
  </si>
  <si>
    <t>Map wakeups late by 0.5 to 1.0 msec</t>
  </si>
  <si>
    <t xml:space="preserve">sched_UM_WkLateD_1to2_ms </t>
  </si>
  <si>
    <t>Map wakeups late by 1.0 to 2.0 msec</t>
  </si>
  <si>
    <t>sched_UM_WkLateE_2to4_ms</t>
  </si>
  <si>
    <t>Map wakeups late by 2.0 to 4.0 msec</t>
  </si>
  <si>
    <t>sched_UM_WkLateF_4to16_ms</t>
  </si>
  <si>
    <t>Map wakeups late by 4.0 to 16.0 msec</t>
  </si>
  <si>
    <t>sched_UM_WkLateG_16to32 ms</t>
  </si>
  <si>
    <t>Map wakeups late by 16.0 to 32.0 msec</t>
  </si>
  <si>
    <t>sched_UM_WkLateG_32to64_ms</t>
  </si>
  <si>
    <t>Map wakeups late by 32.0 to 64.0 msec</t>
  </si>
  <si>
    <t>sched_UM_WkLateG_64plus_ms</t>
  </si>
  <si>
    <t>Map wakeups late over msec</t>
  </si>
  <si>
    <t xml:space="preserve">sched_UM_WkLate_OFDMA </t>
  </si>
  <si>
    <t>Late map wakeups for OFDMA channel</t>
  </si>
  <si>
    <t>sched_SCH_GenNullLateMap</t>
  </si>
  <si>
    <t xml:space="preserve">Sum of "unexpected" late wakeups, i.e.  other than for reconfiguration.  </t>
  </si>
  <si>
    <t xml:space="preserve">Steadily increasing counts indicate an overloaded scheduler thread.  </t>
  </si>
  <si>
    <t>sched_UM_Defer</t>
  </si>
  <si>
    <t xml:space="preserve">Histogram of number of deferred grants per map.  Higher numbers are worse. Each deferred grant represents a map interval (default 4msec) delay to the grant.  Consider reducing upstream load with significant deferrals above 10. </t>
  </si>
  <si>
    <t>sched_UM_DeferQam_000</t>
  </si>
  <si>
    <t xml:space="preserve">ScQam maps with zero deferred grants </t>
  </si>
  <si>
    <t>sched_UM_DeferQam_001to010</t>
  </si>
  <si>
    <t>ScQam maps with 1 to 10 deferred grants</t>
  </si>
  <si>
    <t>sched_UM_DeferQam_011to025</t>
  </si>
  <si>
    <t>ScQam maps with 11 to 25 deferred grants</t>
  </si>
  <si>
    <t>sched_UM_DeferQam_026to050</t>
  </si>
  <si>
    <t>ScQam maps with 26 to 50 deferred grants</t>
  </si>
  <si>
    <t>sched_UM_DeferQam_051to075</t>
  </si>
  <si>
    <t>ScQam maps with 51 to 75 deferred grants</t>
  </si>
  <si>
    <t>sched_UM_DeferQam_076to100</t>
  </si>
  <si>
    <t>ScQam maps with 75 to 100 deferred grants</t>
  </si>
  <si>
    <t>sched_UM_DeferQam_101_plus</t>
  </si>
  <si>
    <t>ScQam maps with over 100 deferred grants</t>
  </si>
  <si>
    <t>sched_UM_DeferOfdma_000</t>
  </si>
  <si>
    <t xml:space="preserve">Ofdma maps with zero deferred grants </t>
  </si>
  <si>
    <t>sched_UM_DeferOfdma_001to010</t>
  </si>
  <si>
    <t>Ofdma maps with 1 to 10 deferred grants</t>
  </si>
  <si>
    <t>sched_UM_DeferOfdma_011to025</t>
  </si>
  <si>
    <t>Ofdma maps with 11 to 25 deferred grants</t>
  </si>
  <si>
    <t>sched_UM_DeferOfdma_026to050</t>
  </si>
  <si>
    <t>Ofdma maps with 26 to 50 deferred grants</t>
  </si>
  <si>
    <t>sched_UM_DeferOfdma_051to075</t>
  </si>
  <si>
    <t>Ofdma maps with 51 to 75 deferred grants</t>
  </si>
  <si>
    <t>sched_UM_DeferOfdma_076to100</t>
  </si>
  <si>
    <t>Ofdma maps with 75 to 100 deferred grants</t>
  </si>
  <si>
    <t>sched_UM_DeferOfdma_101_plus</t>
  </si>
  <si>
    <t>Ofdma maps with over 100  deferred grants</t>
  </si>
  <si>
    <t>sched_Buffer</t>
  </si>
  <si>
    <r>
      <rPr>
        <sz val="11"/>
        <rFont val="Calibri"/>
        <family val="2"/>
        <charset val="1"/>
      </rPr>
      <t>Stats from "</t>
    </r>
    <r>
      <rPr>
        <b/>
        <sz val="11"/>
        <rFont val="Calibri"/>
        <family val="2"/>
        <charset val="1"/>
      </rPr>
      <t>ulc-debug sched PrintResources</t>
    </r>
    <r>
      <rPr>
        <sz val="11"/>
        <rFont val="Calibri"/>
        <family val="2"/>
        <charset val="1"/>
      </rPr>
      <t>" for buffer pools with different buffer sizes. "pool" label is decimal of nominal  buffer size, one of "2000", "8192", "16384". A Leak is detected when (Total - Free) != (Allocs-Frees)  Scheduler must report 64-bit counters.  Currently, the scheduler uses buffer pool buffers only for UCD and Map packets, for pool="2000"</t>
    </r>
  </si>
  <si>
    <t>sched_Buffer_Total</t>
  </si>
  <si>
    <t>thread
pool</t>
  </si>
  <si>
    <t>Total number of buffers in the pool</t>
  </si>
  <si>
    <t>sched_Buffer_Remaining</t>
  </si>
  <si>
    <t>Number of free buffers in the pool</t>
  </si>
  <si>
    <t>Check for minimum threshold, e.g. &lt; 25% of sched_Buffer_Total</t>
  </si>
  <si>
    <t>sched_Buffer_Allocs</t>
  </si>
  <si>
    <t>Number of buffer allocations</t>
  </si>
  <si>
    <t>sched_Buffer_Frees</t>
  </si>
  <si>
    <t>Number of buffer frees.</t>
  </si>
  <si>
    <t>sched_Latency</t>
  </si>
  <si>
    <t>15 secs</t>
  </si>
  <si>
    <r>
      <rPr>
        <sz val="11"/>
        <rFont val="Calibri"/>
        <family val="2"/>
        <charset val="1"/>
      </rPr>
      <t>Reported for SCQAM and OFDMA.
Stats from "</t>
    </r>
    <r>
      <rPr>
        <b/>
        <sz val="11"/>
        <rFont val="Calibri"/>
        <family val="2"/>
        <charset val="1"/>
      </rPr>
      <t>ulc-debug sched DisplayStats</t>
    </r>
    <r>
      <rPr>
        <sz val="11"/>
        <rFont val="Calibri"/>
        <family val="2"/>
        <charset val="1"/>
      </rPr>
      <t>". "ifName" label is upstream interface name, e.g "Us1:0/0" for SCDMA or "Of:1:0/0" for OFDMA. Latency is measured from the timestamp  at which the CM requests to the timestamp at which the scheduler grants.   For latency histogram, later letters (A,B,C...) are worse.</t>
    </r>
  </si>
  <si>
    <t>sched_Latency_Requests</t>
  </si>
  <si>
    <t>mdName
ifName</t>
  </si>
  <si>
    <t xml:space="preserve">Total requests on upstream channel </t>
  </si>
  <si>
    <t>sched_Latency_Grants</t>
  </si>
  <si>
    <t>Total # of grants on upstream channel</t>
  </si>
  <si>
    <t>sched_Latency_RG_Min_ms</t>
  </si>
  <si>
    <t>Min request-to-grant latency milliseconds since last scrape</t>
  </si>
  <si>
    <t>sched_Latency_RG_Max_ms</t>
  </si>
  <si>
    <t>Average request-to-grant  latency milliseconds since last scrape</t>
  </si>
  <si>
    <t>sched_Latency_RG_Avg_ms</t>
  </si>
  <si>
    <t>Average request-to-grant latency milliseconds since last scrape</t>
  </si>
  <si>
    <t xml:space="preserve">Increases indicate scheduler CPU load. </t>
  </si>
  <si>
    <t>sched_Latency_CIN_Min_ms</t>
  </si>
  <si>
    <t>Min upstream CIN latency from CM to Core since last scrape</t>
  </si>
  <si>
    <t xml:space="preserve">CIN is "Converged Interconnect Network" </t>
  </si>
  <si>
    <t>sched_Latency_CIN_Max_ms</t>
  </si>
  <si>
    <t>Max upstream CIN latency from CM  to Core since last scrape</t>
  </si>
  <si>
    <t>Average upstream CIN latency from CM to Core since last scrape</t>
  </si>
  <si>
    <t>sched_Map</t>
  </si>
  <si>
    <t>Reported for SCQAM and OFDMA.
Per-MD, Per-channel stats from "ulc-debug sched DisplayStats".
 TotalSlots = sum({__name__="sched_Map.*Mslots}).
DataSlots = sum(sched_Map_IucMslots)-
                        sched_Map_IucMslots{iucName="RQST"}
Utilization = DataSlots/TotalSlots</t>
  </si>
  <si>
    <t>sched_Map_FftMslots</t>
  </si>
  <si>
    <t>Minislots mapped for FFT calculation</t>
  </si>
  <si>
    <t>sched_Map_IucMslots</t>
  </si>
  <si>
    <t>mdName
ifName
iucName</t>
  </si>
  <si>
    <t>Mapped minislots per IUC</t>
  </si>
  <si>
    <t xml:space="preserve">iucName = "RQST","RDATA","IM", "SM", "SDATA", "LDATA", "ASHORT","ALONG","AUGS","OFDMA12","OFDMA13". 
</t>
  </si>
  <si>
    <t>sched_Map_NullMslots</t>
  </si>
  <si>
    <t xml:space="preserve">Unmapped minislots </t>
  </si>
  <si>
    <t>NullMslots are unmapped slots. Increasing counts indicates scheduler is not getting enough time to run.</t>
  </si>
  <si>
    <t>sched_Map_TotalMaps</t>
  </si>
  <si>
    <t>Total maps transmitted for channel</t>
  </si>
  <si>
    <t>sched_Map_TotalMslots</t>
  </si>
  <si>
    <t>Total of all minislots mapped for channel</t>
  </si>
  <si>
    <t>(Not in 2.6.0.0-23+auto22. Delivered to trunk with CBLOS-20593 02-Jul-18).</t>
  </si>
  <si>
    <t>sched_Flow</t>
  </si>
  <si>
    <t xml:space="preserve">For scalability, most sched_Flow stats are disabled. </t>
  </si>
  <si>
    <t>Active upstream service flow stats on a cable modem as displayed with "ulc-debug sched PrintClusterStats".  Note: stats for deleted SFs are not shown. The "sfIndex" label is a reusable index unique per the CM to identify a flow for telemetry purposes.
All stats are absolute unless indicated otherwise (e.g. min/max/avg)</t>
  </si>
  <si>
    <t>sched_Flow_SfId</t>
  </si>
  <si>
    <t>mdName
cmMacAddr
sfIndex</t>
  </si>
  <si>
    <t xml:space="preserve">Upstream Service Flow ID, unique per MAC domain </t>
  </si>
  <si>
    <t>sched_Flow_ccfRequests</t>
  </si>
  <si>
    <t>Total CCF requests from D3.0 MTC flow.</t>
  </si>
  <si>
    <t>sched_Flow_ccfRequestsContention</t>
  </si>
  <si>
    <t>Subset of sched_Flow_ccfRequests in contention bandwidth request interval. Remainder are piggyback requests.</t>
  </si>
  <si>
    <t xml:space="preserve">TotalRequests - ContentionRequests is piggybacked requests.  For high bandwidth flows, most requests should be piggyback; high contention request rates during upstream traffic may indicate lost piggyback requests. </t>
  </si>
  <si>
    <t>sched_Flow_ccfRequestsDiscarded</t>
  </si>
  <si>
    <t>Requests discarded, e.g. at end of cluster</t>
  </si>
  <si>
    <t>TBD: find discard reasons and display global codeTimerCount for each one.</t>
  </si>
  <si>
    <t>sched_Flow_ccfRequestBytes</t>
  </si>
  <si>
    <t>Total bytes requested via CCF requests from D3.0 MTC flow.</t>
  </si>
  <si>
    <t>D2.0 minislot-based requests counted a full minislot</t>
  </si>
  <si>
    <t>sched_Flow_ccfRequestBytesContention</t>
  </si>
  <si>
    <t xml:space="preserve">Subset of sched_FlowRequestBytes  in contention request interval (IUC1). Difference is piggyback bytes requested. </t>
  </si>
  <si>
    <t xml:space="preserve">During high upstream traffic, most  requests should be piggybacked </t>
  </si>
  <si>
    <t>sched_Flow_totalGrants</t>
  </si>
  <si>
    <t>Total number of grants (CCF and slot)</t>
  </si>
  <si>
    <t>Includes UGS grants.</t>
  </si>
  <si>
    <t>sched_Flow_ccfGrantBytes</t>
  </si>
  <si>
    <t>Bytes granted to the CCF flow</t>
  </si>
  <si>
    <t>sched_Flow_ccfMaxOutstandingBytes</t>
  </si>
  <si>
    <t>Maximum outstanding bytes to be scheduled for the flow since last scrape/push.</t>
  </si>
  <si>
    <t>sched_Flow_primarySid</t>
  </si>
  <si>
    <t>Service ID</t>
  </si>
  <si>
    <t xml:space="preserve">For pre-3.0, the only SID for the CM.  Zero for D3.0 and later CM. </t>
  </si>
  <si>
    <t>sched_Flow_slotRequests</t>
  </si>
  <si>
    <t>Number of pre-D3.0  slot-based bandwidth requests</t>
  </si>
  <si>
    <t>sched_Flow_slotRequestsContention</t>
  </si>
  <si>
    <t>Subset of sched_Flow_slotRequests in a contention interval.   Difference is piggybacked requests.</t>
  </si>
  <si>
    <t>Contention intervals are IUC1 and IUC2.</t>
  </si>
  <si>
    <t>sched_Flow_slotsRequested</t>
  </si>
  <si>
    <t>Total count of slots requested with pre-D3.0 slot-based bandwidth requests</t>
  </si>
  <si>
    <t>sched_Flow_slotsRequestedContention</t>
  </si>
  <si>
    <t>Subset of sched_FlowSlotsRequested in a contention interval. Difference is count of piggybacked slots requested.</t>
  </si>
  <si>
    <t>sched_Flow_slotsGranted</t>
  </si>
  <si>
    <t>Count of pre-D3.0 requested slots that were granted to the flow.</t>
  </si>
  <si>
    <t>sched_Info</t>
  </si>
  <si>
    <t>Normal conditions</t>
  </si>
  <si>
    <t>sched_Info_UM_BuiltMapOfdma</t>
  </si>
  <si>
    <t>Number of maps constructed for OFDMA channels</t>
  </si>
  <si>
    <r>
      <rPr>
        <sz val="11"/>
        <rFont val="Calibri"/>
        <family val="2"/>
        <charset val="1"/>
      </rPr>
      <t xml:space="preserve">The sum of SCQAM and OFDMA built maps should   be used as a denominator for reporthing and thresholding the  </t>
    </r>
    <r>
      <rPr>
        <i/>
        <sz val="11"/>
        <rFont val="Calibri"/>
        <family val="2"/>
        <charset val="1"/>
      </rPr>
      <t>fraction</t>
    </r>
    <r>
      <rPr>
        <sz val="11"/>
        <rFont val="Calibri"/>
        <family val="2"/>
        <charset val="1"/>
      </rPr>
      <t xml:space="preserve"> of maps with problems as reported in other metrics.</t>
    </r>
  </si>
  <si>
    <t>sched_Info_UM_BuiltMapQam</t>
  </si>
  <si>
    <t>Number of maps constructed for SCQAM channels</t>
  </si>
  <si>
    <t xml:space="preserve">A reduction in rate may indicate high CPU loading.   </t>
  </si>
  <si>
    <t>sched_Info_UM_RqstContention</t>
  </si>
  <si>
    <t>Total number of contention requests</t>
  </si>
  <si>
    <t xml:space="preserve">With high upstream utililizaton, most requests should be piggybacked.  Lower fractions at higher utilization may indicate (upstream) TCP window sizes too small(i.e. &lt;  RTT), requiring a contention request per TCP window. 
Under artificial test conditions, however, it is common for  contention requests to dominate. </t>
  </si>
  <si>
    <t xml:space="preserve">sched_Info_UM_RqstPiggyback </t>
  </si>
  <si>
    <t>Total number of piggyback requests</t>
  </si>
  <si>
    <t>Sum of UM_Rqst_Contention and UM_RqstPiggyback is total requests.</t>
  </si>
  <si>
    <t>sched_Info_UM_SchBE_Frag</t>
  </si>
  <si>
    <t>Number of D2.0 fragmented grants</t>
  </si>
  <si>
    <t>sched_Info_UM_SchBE_LastFrag</t>
  </si>
  <si>
    <t xml:space="preserve">Fragmented at end of map. </t>
  </si>
  <si>
    <t xml:space="preserve">Normal for D3.0 CCF </t>
  </si>
  <si>
    <t>sched_Info_UM_SchBE_NoFrag</t>
  </si>
  <si>
    <t>Number of unfragmented grants</t>
  </si>
  <si>
    <t>sched_Info_UM_TooManyMinislots</t>
  </si>
  <si>
    <t>Number of deferred grants due to upstream traffic.</t>
  </si>
  <si>
    <t>Normal under high upstream traffic conditions; indicates a grant deferred for one map interval.   Check ratio of this to total map count for too many deferrals.</t>
  </si>
  <si>
    <t>sched_Info_USF_ActBE</t>
  </si>
  <si>
    <t>Number of newly activated Best Effort lows</t>
  </si>
  <si>
    <t>sched_Info_USF_ActNRTP_0</t>
  </si>
  <si>
    <t>Number of newly activated Non-Real Time Polling  flows</t>
  </si>
  <si>
    <t>sched_Info_USF_ActRTP_0</t>
  </si>
  <si>
    <t>Number of newly activated Real Time Polling flows</t>
  </si>
  <si>
    <t>sched_Info_USF_ActUGS</t>
  </si>
  <si>
    <t>Number of newly activated Unsolicited Grant Service flows</t>
  </si>
  <si>
    <t>sched_Info_USF_ActUGS_AD_0</t>
  </si>
  <si>
    <t>Number of newly activated Unsolicited Grant Service w/Activity Detection flows</t>
  </si>
  <si>
    <t>sched_Info_USF_BonusGrant</t>
  </si>
  <si>
    <t>Number of bonus grants due to Queue Indicator</t>
  </si>
  <si>
    <t>sched_Info_USF_Byte_Rqst</t>
  </si>
  <si>
    <t>Number of byte-based requests</t>
  </si>
  <si>
    <t>From D3.0 CMs</t>
  </si>
  <si>
    <t>sched_Info_USF_IncBytesPending</t>
  </si>
  <si>
    <t>Request causes SF to increment bytes pending in its current cluster</t>
  </si>
  <si>
    <t xml:space="preserve">With no ignored byte-based requests, sum  of USF_ClusterSwitch and USF_IncBytesPending should match USF_ByteRqst. </t>
  </si>
  <si>
    <t>sched_Info_USF_Slot_Rqst</t>
  </si>
  <si>
    <t>Number of slot-based requests</t>
  </si>
  <si>
    <t>From pre-3.0 CMs</t>
  </si>
  <si>
    <t>sched_Warn</t>
  </si>
  <si>
    <t>Various warning conditions counted.   Steadily or rapidly increasing counts may indicate corrective action is needed.  Name after "sched_Warn_" is the argument to "code_Count()".</t>
  </si>
  <si>
    <t>sched_Warn_BUM_LogMapError</t>
  </si>
  <si>
    <t xml:space="preserve">Unexpected internal error logged when generating map. </t>
  </si>
  <si>
    <t>See "sched" logs of the form "BUM: MapError: …"</t>
  </si>
  <si>
    <t>sched_Warn_BUMSQ_NullMap</t>
  </si>
  <si>
    <t xml:space="preserve">thread </t>
  </si>
  <si>
    <t>Generated a null map (no grants) due to reconfig pending, UCD change, or system startup</t>
  </si>
  <si>
    <t xml:space="preserve">Brief increases are expected on configuration change, but should be stable during normal operation. </t>
  </si>
  <si>
    <t>sched_Warn_SCH_ExtraSleep</t>
  </si>
  <si>
    <t>Scheduler forced itself to sleep (for 1usec) after map processing was consuming too much CPU (20msec straight).</t>
  </si>
  <si>
    <t xml:space="preserve">Constantly increasing counts indicate the map generation load should be reduced (e.g. longer map intervals).  20msec can be adjusted via shell to "debug34" milliseconds. </t>
  </si>
  <si>
    <t>sched_Warn_SCH_MsgCutoff</t>
  </si>
  <si>
    <t xml:space="preserve">Processing of backlogged DOCSIS messages extended beyond a required  "cutoff" deadline before the next MAP time. </t>
  </si>
  <si>
    <t xml:space="preserve">Indicates a MAP was sent later than required to guarantee timely arrival at a CM, possibly causing a "late Map" count in the CM.  Very rapid increases may indicate DOCSIS msgs themselves are sent too late to CMs, e.g. RNG-RSPs.  </t>
  </si>
  <si>
    <t>sched_Warn_SCH_SkipPendingChan</t>
  </si>
  <si>
    <t>Skipped processing map for a channel with a pending request because it was being configured.</t>
  </si>
  <si>
    <t>Normal to increment briefly during configuration changes.  Constant increase may indicate configuration hang or configuration loop.</t>
  </si>
  <si>
    <t>sched_Warn_ST_IgnoreMMM</t>
  </si>
  <si>
    <t>Scheduler was unable to send MAP to data path.</t>
  </si>
  <si>
    <t>Steadily increasing counts may indicate a hung or overloaded data path.</t>
  </si>
  <si>
    <t>sched_Warn_SUSF_GrTooEarly</t>
  </si>
  <si>
    <t>Scheduler disallowed a grant that violates a flow's max rate with burst.</t>
  </si>
  <si>
    <t>A small fraction of all grants (&lt;&lt; 1%) is not unexpected.  Constantly increasing counts may indicate that the scheduler's clock is running slower than CMs' clocks, or that the scheduler and CM have different values for the SF max rate.</t>
  </si>
  <si>
    <t>sched_Warn_UM_BadBwRqsTS</t>
  </si>
  <si>
    <t>Received bandwidth request at data path timestamp before CM's timestamp</t>
  </si>
  <si>
    <t>Indicates a DOCSIS timestamp mismatch between the RPD and core.  See "Logging BW Requests" for logging which SID requests failed.</t>
  </si>
  <si>
    <t>sched_Warn_UM_BadBwRqsTS2</t>
  </si>
  <si>
    <t>Received bandwidth request at data path over  2 ms after CM's timestamp</t>
  </si>
  <si>
    <t>Abnormally long transit delay from RPD to core, or a timing mistmatch between RPD and Core.  See "Logging BW Requests" note for logging which SID requests failed.</t>
  </si>
  <si>
    <t>sched_Warn_UM_NoDeferSpace</t>
  </si>
  <si>
    <t>Ignored bandwidth request because no space in map to defer the request.</t>
  </si>
  <si>
    <t>Small increases under heavy upstream traffic are normal, especially with artifical test conditions.   Large or constant increases may indicate CMTS/CM mismatch in SF maximum rate configuration or calculation.  See "Logging BW Requests" note for logging which SID requests failed.</t>
  </si>
  <si>
    <t>sched_Warn_UM_NoRqstInMAP</t>
  </si>
  <si>
    <t>Map was too full to insert request intervals.</t>
  </si>
  <si>
    <t xml:space="preserve">Rapid increases  indicate larger delays to non-piggybacked traffic, and  may suggest a feature enhancement to configure minimum  RQSTs in each map. </t>
  </si>
  <si>
    <t>sched_Warn_UM_RqstBadSid</t>
  </si>
  <si>
    <t xml:space="preserve">Ignored bandwidth request from unknown SID. </t>
  </si>
  <si>
    <t>Small increases are normal when receiving in-flight requests for deregistered CMs or discontinued VOIP calls.    Large or constant increases indicate a CMTS/CM SID mismatch.  See "Logging BW Requests" note for logging which SID requests failed.</t>
  </si>
  <si>
    <t xml:space="preserve">sched_Warn_UM_SkipUGSPeriod </t>
  </si>
  <si>
    <t xml:space="preserve">A grant for a UGS flow was skipped because it was too late to schedule it. </t>
  </si>
  <si>
    <t>Indicates scheduler task was overloaded.</t>
  </si>
  <si>
    <t>sched_Warn_UM_SvcRqstFail</t>
  </si>
  <si>
    <t xml:space="preserve">Summary of all SF bandwidth request failures. </t>
  </si>
  <si>
    <t>Individual counts include USF_IgnoredRqstX, USF_BadUsChan, USF_OutOfMemory</t>
  </si>
  <si>
    <t>sched_Warn_UM_TooManyElements</t>
  </si>
  <si>
    <t>Unable to defer grant due to too many MAP elements.</t>
  </si>
  <si>
    <t xml:space="preserve">Consider reducing number of CMs capable of making concurrent requests. </t>
  </si>
  <si>
    <t>sched_Warn_USF_BadUsChanRqst</t>
  </si>
  <si>
    <t>Rejected upstream bandwidth request from an unexpectede channel for the CM</t>
  </si>
  <si>
    <t>Small counts  are normal with DCC race conditons.</t>
  </si>
  <si>
    <t>sched_Warn_USF_MaxPendingBytes</t>
  </si>
  <si>
    <t>Ignored request due to max pending bytes in cluster</t>
  </si>
  <si>
    <t>May indicate CM/CMTS mismatch in requests outstanding or faulty CM software.</t>
  </si>
  <si>
    <t>sched_Warn_USF_NonPriRqst</t>
  </si>
  <si>
    <t>Ignored request from non-primary channel</t>
  </si>
  <si>
    <t>Small counts are normal with DCC race conditions.</t>
  </si>
  <si>
    <t>sched_Warn_USF_UsChanChgRqst</t>
  </si>
  <si>
    <t>Accepted upstream bandwidth request from unexpected channel for the CM</t>
  </si>
  <si>
    <t>sched_Critical</t>
  </si>
  <si>
    <t>sched_Critical_OutOfMemory</t>
  </si>
  <si>
    <t>Scheduler is out of heap memory.</t>
  </si>
  <si>
    <t xml:space="preserve">This critical error indicates the scheduler almost certainly  has a memory leak. The current vcmts-cd pod should be removed immediately and left in a state for vendor debugging. </t>
  </si>
  <si>
    <t>Future metrics to consider:</t>
  </si>
  <si>
    <t xml:space="preserve">   Histogram of SCH_Msg_Lt1k, etc, for number of DOCSIS messages processed per acdtivation (1000 per bucket)</t>
  </si>
  <si>
    <t xml:space="preserve">* The scheduler maintains separate counts for "newly active" non-BE flow  ("USF_ActNRTP_0") and "re-activated" non-BE flows ("USF_ActNRTP_Non0").  Since the conditions for  "reactivating" a flow are unclear, those counts are not currently reported. </t>
  </si>
  <si>
    <t>sched_Info_USF_ClusterSwitch</t>
  </si>
  <si>
    <t>Request causes SF to switches to a new cluster</t>
  </si>
  <si>
    <t>sched_Info_USF_SidClusterSwitch</t>
  </si>
  <si>
    <t>Completed all grants in current cluster</t>
  </si>
  <si>
    <t>sched_Flow_MaxBytesPendingAtSwitch</t>
  </si>
  <si>
    <t>mdName
cmMacAddr
sfid</t>
  </si>
  <si>
    <t>Max outstanding bytes to schedule at SID cluster switcher, since "zero" scrape</t>
  </si>
  <si>
    <t>sched_Flow_MaxBytesPerCluster</t>
  </si>
  <si>
    <t>Max bytes scheduled in a SID cluster since "zero" scrape</t>
  </si>
  <si>
    <t>sched_Flow_MaxRequestsPerCluster</t>
  </si>
  <si>
    <t>Max requests per SID cluster since "zero" scrape</t>
  </si>
  <si>
    <t>sched_Flow_AvgBytesPendingAtSwitch</t>
  </si>
  <si>
    <t>Average outstanding bytes to schedule at SID cluster switcher, since "zero" scrape</t>
  </si>
  <si>
    <t>sched_Flow_AvgBytesPerCluster</t>
  </si>
  <si>
    <t>Average bytes scheduled in a  SID cluster since "zero" scrape</t>
  </si>
  <si>
    <t>sched_Flow_AvgRequestsPerCluster</t>
  </si>
  <si>
    <t>Average  requests per SID cluster since "zero" scrape</t>
  </si>
  <si>
    <t>sched_Latency_histC_2to3_ms</t>
  </si>
  <si>
    <t>sched_Latency_histD_4to5_ms</t>
  </si>
  <si>
    <t>sched_Latency_histE_6to7_ms</t>
  </si>
  <si>
    <t>sched_Latency_histF_7to8_ms</t>
  </si>
  <si>
    <t>sched_Latency_histG_8to9_ms</t>
  </si>
  <si>
    <t>sched_Latency_histH_9to10_ms</t>
  </si>
  <si>
    <t>sched_Latency_histI_10to11_ms</t>
  </si>
  <si>
    <t>sched_Latency_histJ_11to12_ms</t>
  </si>
  <si>
    <t>sched_Latency_histK_12to13_ms</t>
  </si>
  <si>
    <t>sched_Latency_histL_13to14_ms</t>
  </si>
  <si>
    <t>sched_Latency_histM_14to15_ms</t>
  </si>
  <si>
    <t>sched_Latency_histN_15to16_ms</t>
  </si>
  <si>
    <t>sched_Latency_histO_16to17_ms</t>
  </si>
  <si>
    <t>sched_Latency_histP_17to18_ms</t>
  </si>
  <si>
    <t>sched_Latency_histQ_18to19_ms</t>
  </si>
  <si>
    <t>sched_Latency_histR_19to20_ms</t>
  </si>
  <si>
    <t>sched_Latency_histS_over20_ms</t>
  </si>
  <si>
    <t>sched_Shared</t>
  </si>
  <si>
    <r>
      <rPr>
        <sz val="11"/>
        <rFont val="Calibri"/>
        <family val="2"/>
        <charset val="1"/>
      </rPr>
      <t>Stats from "</t>
    </r>
    <r>
      <rPr>
        <b/>
        <sz val="11"/>
        <rFont val="Calibri"/>
        <family val="2"/>
        <charset val="1"/>
      </rPr>
      <t>uld-debug sched PrintResources</t>
    </r>
    <r>
      <rPr>
        <sz val="11"/>
        <rFont val="Calibri"/>
        <family val="2"/>
        <charset val="1"/>
      </rPr>
      <t xml:space="preserve">" for ring interfaces to scheduler thread. </t>
    </r>
  </si>
  <si>
    <t>sched_Shared_fDocToSchedRingArray_max</t>
  </si>
  <si>
    <t>Max size of fDocToSchedRingArray for management requests to sched thread since last scrape.</t>
  </si>
  <si>
    <t xml:space="preserve">Steady increases indicate scheduler thread is "hung". </t>
  </si>
  <si>
    <t>sched_Shared_fBwRqstRingArray_max</t>
  </si>
  <si>
    <t>Max size of fBwRqstRingArray for bandwidth  requests to sched thread since last scrape.</t>
  </si>
  <si>
    <t>sched_Shared_fSchedToDocRingArray_max</t>
  </si>
  <si>
    <t>Max size of fSchedtoDockRing Array for management responses from sched thread since last scrape.</t>
  </si>
  <si>
    <t>PrintClusterStats() display much more detailed stats, e.g. per-channel/per-iuc min/max requests/grants/bytes</t>
  </si>
  <si>
    <t>Cloud-Native-only metrics</t>
  </si>
  <si>
    <t>These metrics are available only on Harmonic "Cloud-Native" core nodes</t>
  </si>
  <si>
    <t>1. All Cloud-Namtive metrics include the label "node"="xxx"  which provides the linux hostname "xxx" of the node reporting the metrics;</t>
  </si>
  <si>
    <t xml:space="preserve">2. On CableOs Central, all metrics include the label "cluster"="xxx" for a monitored cluster named "xxx". </t>
  </si>
  <si>
    <t>Topic</t>
  </si>
  <si>
    <t>HRM</t>
  </si>
  <si>
    <t>hrm_platform_version</t>
  </si>
  <si>
    <t>Guage=0</t>
  </si>
  <si>
    <t xml:space="preserve">
active=
node=
passive=</t>
  </si>
  <si>
    <t>Per-node Cloud-Native software releases</t>
  </si>
  <si>
    <t>active= active release number
node= node name
passive= passive release number</t>
  </si>
  <si>
    <t>node_time</t>
  </si>
  <si>
    <t>Time-of-day  synchronization status derived from NTP</t>
  </si>
  <si>
    <t>node_time_seconds</t>
  </si>
  <si>
    <t>System  time-of-day clock in seconds since midnight, Jan 1 1970, UTC.</t>
  </si>
  <si>
    <t>node_timex_sync_status</t>
  </si>
  <si>
    <t xml:space="preserve">Whether system clock is accurately synchronized to an NTP server (1 = yes, 0 = no). </t>
  </si>
  <si>
    <t xml:space="preserve">node_timex_offset_seconds </t>
  </si>
  <si>
    <t>Estimated time  offset in seconds  between  system and NTP reference clock.</t>
  </si>
  <si>
    <t>node_timesync_local_epoch_seconds</t>
  </si>
  <si>
    <t xml:space="preserve">System time-of-day clock  in seconds since  midnight, Jan 1 1970 in local time zone. </t>
  </si>
  <si>
    <t>node_timesync_ntp_server_info</t>
  </si>
  <si>
    <t>ntpServerIpAddr=
ntpServerName=</t>
  </si>
  <si>
    <t xml:space="preserve">Label-only metric.   Value is 0. </t>
  </si>
  <si>
    <t>ntpServerIpAddr= IP address of current NTP server
ntpServerName= FQDN of current NTP server</t>
  </si>
  <si>
    <t>Harmonic RPD Sensor Entity Index</t>
  </si>
  <si>
    <t>As reported in metric "vRpd_Sensors_value"</t>
  </si>
  <si>
    <t>Source  https://confluence-cableos.harmonicinc.com/display/TEAM7/RPD+Metrics.+Sensors</t>
  </si>
  <si>
    <t>Effective Date:  19-Dec-2019</t>
  </si>
  <si>
    <t>The table below matches RPD sensors names (from 'exor -V' RPD shell command) to EntityIndexes (100.7.1)</t>
  </si>
  <si>
    <t>Sensor Name</t>
  </si>
  <si>
    <t>EntityIndex (TLV 100.7.1)</t>
  </si>
  <si>
    <t>Remark</t>
  </si>
  <si>
    <t>1v0_avs_phy</t>
  </si>
  <si>
    <t>1V BCM Power Supply Voltage</t>
  </si>
  <si>
    <t>1v0_core</t>
  </si>
  <si>
    <t>1V CPU Power Supply Voltage</t>
  </si>
  <si>
    <t>1v1_fpga</t>
  </si>
  <si>
    <t>1.1V FPGA Power Supply Voltage</t>
  </si>
  <si>
    <t>1v8_phy</t>
  </si>
  <si>
    <t>1.8V BCM Power Supply Voltage</t>
  </si>
  <si>
    <t>1v35_sw</t>
  </si>
  <si>
    <t>1.35 DDR RAM Power Supply Voltage</t>
  </si>
  <si>
    <t>1v_phy</t>
  </si>
  <si>
    <t>3v3_phy</t>
  </si>
  <si>
    <t>3.3V BCM Power Supply Voltage</t>
  </si>
  <si>
    <t>3v3_sys</t>
  </si>
  <si>
    <t>3.3V Voltage from Node Power Supply</t>
  </si>
  <si>
    <t>3v6_clk</t>
  </si>
  <si>
    <t>3.6V PLL Power Supply Voltage</t>
  </si>
  <si>
    <t>5v_sys</t>
  </si>
  <si>
    <t>5V Voltage from Node Power Supply</t>
  </si>
  <si>
    <t>12v_rf</t>
  </si>
  <si>
    <t>Low Noise (filtered) RF Amplifier Voltage</t>
  </si>
  <si>
    <t>12v_sys</t>
  </si>
  <si>
    <t>12V Voltage from Node Power Supply</t>
  </si>
  <si>
    <t>bcm3160_temp</t>
  </si>
  <si>
    <t>BCM Chip Temperature</t>
  </si>
  <si>
    <t>lewis_temp</t>
  </si>
  <si>
    <t>RPD 'Lewis' Switch Temperature</t>
  </si>
  <si>
    <t>rfam3620_temp</t>
  </si>
  <si>
    <t>RF Amplifier Temperature</t>
  </si>
  <si>
    <t>RippleNodeTempLmb</t>
  </si>
  <si>
    <t>RF Node Main Board Temperature</t>
  </si>
  <si>
    <t>RippleNodeTempPs0</t>
  </si>
  <si>
    <t>PS 0 Temperature</t>
  </si>
  <si>
    <t>RippleNodeTempPs1</t>
  </si>
  <si>
    <t>PS 1 Temperature</t>
  </si>
  <si>
    <t>RippleNodeTempRfAmp</t>
  </si>
  <si>
    <t>RippleNodeVoltage5vPs0</t>
  </si>
  <si>
    <t>5V Ripple Internal Voltage (PS 0)</t>
  </si>
  <si>
    <t>RippleNodeVoltage5vPs1</t>
  </si>
  <si>
    <t>5V Ripple Internal Voltage (PS 1)</t>
  </si>
  <si>
    <t>RippleNodeVoltageAcPs0</t>
  </si>
  <si>
    <t>Input AC Voltage of PS 0</t>
  </si>
  <si>
    <t>RippleNodeVoltageAcPs1</t>
  </si>
  <si>
    <t>Input AC Voltage of PS 1</t>
  </si>
  <si>
    <t>RippleNodeVoltageDcPs0</t>
  </si>
  <si>
    <t>Output DC Voltage of PS 0</t>
  </si>
  <si>
    <t>RippleNodeVoltageDcPs1</t>
  </si>
  <si>
    <t>Output DC Voltage of PS 1</t>
  </si>
  <si>
    <t>SFP0_temp</t>
  </si>
  <si>
    <t>SFP Port 0 Temperature</t>
  </si>
  <si>
    <t>SFP1_temp</t>
  </si>
  <si>
    <t>SFP Port 1 Temperature</t>
  </si>
  <si>
    <t>SFP2_temp</t>
  </si>
  <si>
    <t>SFP Port 2 Temperature</t>
  </si>
  <si>
    <t>ha-agent/corosync metrics</t>
  </si>
  <si>
    <t>Labels (type) = approximate value</t>
  </si>
  <si>
    <t>Expected number of metrics produced by ha-agent</t>
  </si>
  <si>
    <t>ha_agent</t>
  </si>
  <si>
    <t>Use this to collection information about ha nodes running.
Only labels returned in GetMetrics() are shown.  Telemetry toolchain adds "podName=", "node=", "cluster","ip"</t>
  </si>
  <si>
    <t>ha_agent_Version</t>
  </si>
  <si>
    <t>haGroup=
version=</t>
  </si>
  <si>
    <t>"version" label is the Debian version of the package "vcmts-hagent4mpod". 
Ex: ha_corosync_Version{pod="vcmts-cd-0-0",sts="vcmts-cd-0", ds="", vrersion="1.1-0"}</t>
  </si>
  <si>
    <t>ha_agent_isGroupLeader</t>
  </si>
  <si>
    <t>haGroup=</t>
  </si>
  <si>
    <t xml:space="preserve"> 1-yes, 0-no</t>
  </si>
  <si>
    <t>Indicates whether the reporting ha-agent is its group leader.
haGroup= identifies a group of pods controlled by ha-agent, e.g. "vcmts-cd-0"</t>
  </si>
  <si>
    <t>ha_agent_resourceState</t>
  </si>
  <si>
    <r>
      <rPr>
        <sz val="11"/>
        <color rgb="FF000000"/>
        <rFont val="Calibri"/>
        <family val="2"/>
      </rPr>
      <t xml:space="preserve">haGroup=
</t>
    </r>
    <r>
      <rPr>
        <sz val="11"/>
        <color rgb="FF000000"/>
        <rFont val="Calibri"/>
        <family val="2"/>
        <charset val="1"/>
      </rPr>
      <t xml:space="preserve">
resource=
type=
state=</t>
    </r>
  </si>
  <si>
    <t>active(1) or standby(0)</t>
  </si>
  <si>
    <t>Internal ha-agent information about the state (active or standby) of a particular resource controllable by an ha-agent. 
resource= name of an ha-agent resource of type, e.g. "workload-123"
type= type of resource controlled by ha-agent,  one of {"file_lock", "workload}
state= {"active", "standby"}</t>
  </si>
  <si>
    <t xml:space="preserve"> Example:
An acttive cd-pod  currently reports one "active" workload in the PG named in the "haGroup" label. 
A standby pod reports N "standby"  workloads assigned to the PG named in "haGroup" label. </t>
  </si>
  <si>
    <t>ha_corosync</t>
  </si>
  <si>
    <t>ha_corosync_Config</t>
  </si>
  <si>
    <r>
      <rPr>
        <sz val="11"/>
        <color rgb="FF000000"/>
        <rFont val="Calibri"/>
        <family val="2"/>
      </rPr>
      <t xml:space="preserve">haGroup=
</t>
    </r>
    <r>
      <rPr>
        <sz val="11"/>
        <color rgb="FF000000"/>
        <rFont val="Calibri"/>
        <family val="2"/>
        <charset val="1"/>
      </rPr>
      <t xml:space="preserve">
corosyncId =
port =
consensus =
downcheck =
failRecvConst =
heartbeatFailuresAllowed =
hold =
join =
maxMessages =
maxNetworkDelay =
merge =
missCountConst =
sendJoin =
seqnoUnchangedConst =
token =
tokenRetransmit =
tokenRetransmitsBeforeLossConst =
tokenWarning =
windowSize =
forceGather =
transport =
pmtudInterval =
blockUnlistedIps =  </t>
    </r>
  </si>
  <si>
    <t xml:space="preserve">corosyncId - 32-bit corosync node identifier
port - corosoync cluster UDP port number
consensus - consensus timeout in milliseconds
downcheck - specifies in milliseconds how long to wait before checking that a network interface is back up after it has been downed
failRecvConst - constant specifies how many rotations of the token without receiving any of the messages when messages should be received may occur before a new configuration is formed
heartbeatFailuresAllowed - specifies the number of heartbeat failures the system should tolerate before declaring heartbeat failure
hold - specifies in milliseconds how long the token should be held by the representative when the protocol is under low utilization
join - specifies in milliseconds how long to wait for join messages in the membership protocol
maxMessages - the maximum number of messages that may be sent by one processor on receipt of the token
maxNetworkDelay -  specifies in milliseconds the approximate delay that your network takes to transport one packet from one machine to another
merge - specifies in milliseconds how long to wait before checking for a partition when no multicast traffic is being sent
missCountConst - defines the maximum number of times on receipt of a token a message is checked for retransmission before a retransmission occurs
sendJoin - specifies in milliseconds an upper range between 0 and send_join to wait before sending a join message
seqnoUnchangedConst - specifies how many rotations of the token without any multicast traffic should occur before the merge detection timeout is started
token - specifies in milliseconds until a token loss is declared after not receiving a token
tokenRetransmit - specifies in milliseconds after how long before receiving a token the token is retransmitted
tokenRetransmitsBeforeLossConst - dentifies how many token retransmits should be attempted before forming a new configuration
tokenWarning - specifies the interval between warnings that the token has not been received
windowSize - specifies the maximum number of messages that may be sent on one token rotation
transport - transport mechanism used
pmtudInterval - specifies how often the knet PMTUd runs to look for network MTU changes
blockUnlistedIps -  Allow UDPU and KNET to drop packets from IP addresses that are not known (nodes which don't exist in the nodelist) to corosync
Runtime corosync configuration as per corosync.conf specification.
</t>
  </si>
  <si>
    <t>ha_corosync_SrpMembJoinRx</t>
  </si>
  <si>
    <t>Number of received join messages</t>
  </si>
  <si>
    <t>ha_corosync_SrpMembJoinTx</t>
  </si>
  <si>
    <t>Number of transmitted join messages</t>
  </si>
  <si>
    <t>ha_corosync_SrpTimeSinceTokenLastReceived</t>
  </si>
  <si>
    <t>Number of ms since the last time this processor received its token</t>
  </si>
  <si>
    <t>ha_corosync_SrpRxMsgDropped</t>
  </si>
  <si>
    <t>Number of received messages which were dropped because they were not expected (as example multicast message in commit state)</t>
  </si>
  <si>
    <t>ha_corosync_SrpRecoveryEntered</t>
  </si>
  <si>
    <t>Number of times the processor entered recovery</t>
  </si>
  <si>
    <t>ha_corosync_SrpOrfTokenTx</t>
  </si>
  <si>
    <t>Number of transmitted orf tokens</t>
  </si>
  <si>
    <t>ha_corosync_SrpOrfTokenRx</t>
  </si>
  <si>
    <t>Number of received orf tokens</t>
  </si>
  <si>
    <t>ha_corosync_SrpOperationalEntered</t>
  </si>
  <si>
    <t>Number of times the processor entered OPERATIONAL state</t>
  </si>
  <si>
    <t>ha_corosync_SrpOperationalTokenLost</t>
  </si>
  <si>
    <t>Number of times the processor lost token in OPERATIONAL state</t>
  </si>
  <si>
    <t>ha_corosync_SrpMttRxToken</t>
  </si>
  <si>
    <t>Mean transit time of token  in  milliseconds.  In  other  words,  time between two consecutive token receives</t>
  </si>
  <si>
    <t>ha_corosync_SrpTokenHoldCancelRx</t>
  </si>
  <si>
    <t>Number of received token hold cancel messages</t>
  </si>
  <si>
    <t>ha_corosync_SrpTokenHoldCancelTx</t>
  </si>
  <si>
    <t>Number of transmitted token hold cancel messages</t>
  </si>
  <si>
    <t>ha_corosync_SrpMembCommitTokenRx</t>
  </si>
  <si>
    <t>Number of received commit tokens</t>
  </si>
  <si>
    <t>ha_corosync_SrpMembCommitTokenTx</t>
  </si>
  <si>
    <t>Number of transmitted commit tokens</t>
  </si>
  <si>
    <t>ha_corosync_SrpGatherTokenLost</t>
  </si>
  <si>
    <t>Number of times the processor lost token in GATHER state</t>
  </si>
  <si>
    <t>ha_corosync_SrpGatherEntered</t>
  </si>
  <si>
    <t>Number of times the processor entered GATHER state</t>
  </si>
  <si>
    <t>ha_corosync_SrpConsensusTimeouts</t>
  </si>
  <si>
    <t>How many times the processor timed out forming a consensus about membership</t>
  </si>
  <si>
    <t>ha_corosync_SrpCommitTokenLost</t>
  </si>
  <si>
    <t>Number of times the processor lost token in COMMIT state</t>
  </si>
  <si>
    <t>ha_corosync_SrpCommitEntered</t>
  </si>
  <si>
    <t>Number of times the processor entered COMMIT state</t>
  </si>
  <si>
    <t>ha_corosync_SrpPgMsgReserved</t>
  </si>
  <si>
    <t>ha_corosync_SrpPgMsgQueueAvail</t>
  </si>
  <si>
    <t>ha_corosync_Neighbor</t>
  </si>
  <si>
    <t>haGroup=
neighborPod =
neighborIp =
neighborCorosyncId =
neighborStatus = joined</t>
  </si>
  <si>
    <t>Value is neighbor join count</t>
  </si>
  <si>
    <t>Each ha-agent reports one series of this metric for each neighbor.
Each pod has its own cluster view
Cluster view is the way a member sees the rest of the cluster
Usually the cluster has consensus meaning that all pods share the same view.
This metric represents a particular member as it is seen by one of its neighbors 
neighborStatus = { "joined" | "left"}
neighborPod – neighbor pod name
neighborIp - neighbor pod ip
neighborCorosyncId – neighbor corosync id
The number of this metrics per single sts with N pods is N * N</t>
  </si>
  <si>
    <t xml:space="preserve">N, N is the number of ha-agents in the cluster/number of pods in the PG 
Example:
3- for PG with 3 pods
4 - for PG with 4 pods
</t>
  </si>
  <si>
    <t>ha-agent/corosync metrics - future metrics. please ignore this table for now.</t>
  </si>
  <si>
    <r>
      <rPr>
        <sz val="11"/>
        <color rgb="FF000000"/>
        <rFont val="Calibri"/>
        <family val="2"/>
      </rPr>
      <t xml:space="preserve">haGroup=
</t>
    </r>
    <r>
      <rPr>
        <sz val="11"/>
        <color rgb="FF000000"/>
        <rFont val="Calibri"/>
        <family val="2"/>
        <charset val="1"/>
      </rPr>
      <t xml:space="preserve">
version=</t>
    </r>
  </si>
  <si>
    <t>Indicates whether the reporting ha-agent is its group leader. 
haGroup= identifies a group of pods controlled by ha-agent, e.g. "vcmts-cd-0"</t>
  </si>
  <si>
    <t xml:space="preserve">haGroup=
corosyncId =
port =
consensus =
downcheck =
failRecvConst =
heartbeatFailuresAllowed =
hold =
join =
maxMessages =
maxNetworkDelay =
merge =
missCountConst =
sendJoin =
seqnoUnchangedConst =
token =
tokenRetransmit =
tokenRetransmitsBeforeLossConst =
tokenWarning =
windowSize =
transport =
pmtudInterval =
blockUnlistedIps =  </t>
  </si>
  <si>
    <t>ha_corosync_LinkConfig</t>
  </si>
  <si>
    <t>link = 0
mode = passive
bindnetaddr = 
transport = udp
pingInterval = 175
pingTimeout = 350
pongCount = 1</t>
  </si>
  <si>
    <t>This is a part of the corosync configuration.
Label values do not change.
link – corosync link id
mode – corosync link mode
bindnetaddr – corosync processor ip representation for the given link
transport – underneath transport protocol [udp or sctp]
pingInterval – time in ms between knet pings
pingTimerout – time in ms without ping to announce the link dead
pongCount – amount of pongs needed to announce the link alive 
There’s a separate metric for each link of each pod.</t>
  </si>
  <si>
    <t>For now we have 1 metric per ha-agent but this can change in future</t>
  </si>
  <si>
    <t>Numer of messages currently reserved at the Totem layer</t>
  </si>
  <si>
    <t>Numer of messages currently available at the Totem layer</t>
  </si>
  <si>
    <t>Each ha-agent reports one series of this metric for each neighbor.
Each pod has its own cluster view
Cluster view is the way a member sees the rest of the cluster
Usually the cluster has consensus meaning that all pods share the same view.
This metric represents a particular member as it is seen by one of its neighbors 
neighborStatus = { "joined" | "left"}
neighborPod – neighbor pod name, e.g. "vcmts-cd-0-0"
neighborIp - neighbor pod ip
neighborCorosyncId – neighbor corosync id
The number of this metrics per single sts with N pods is N * N</t>
  </si>
  <si>
    <t xml:space="preserve">N , N is the number of ha-agents in the cluster/number of pods in PG 
Example:
3- for PG with 3 pods
4 - for PG with 4 pods
</t>
  </si>
  <si>
    <t>ha_corosync_NeighborConnected</t>
  </si>
  <si>
    <t>haGroup=
link = 0
neighborIp =</t>
  </si>
  <si>
    <t>Whether the link is connected or not</t>
  </si>
  <si>
    <t>N * M, N is the number of ha-agents in the cluster/number of pods in the PG . M - is the number of configured links.Currently M is always 1</t>
  </si>
  <si>
    <t>ha_corosync_NeighborDownCount</t>
  </si>
  <si>
    <t>Number of times this link has changed state to DOWN</t>
  </si>
  <si>
    <t>ha_corosync_NeighborEnabled</t>
  </si>
  <si>
    <t>ha_corosync_NeighborLatencyave</t>
  </si>
  <si>
    <t>Calculated latencies of this link.</t>
  </si>
  <si>
    <t>ha_corosync_NeighborLatencymax</t>
  </si>
  <si>
    <t>ha_corosync_NeighborLatencymin</t>
  </si>
  <si>
    <t>ha_corosync_NeighborLatencysamples</t>
  </si>
  <si>
    <t>The number of samples used to calculate the latency figures, so you have some idea of their precision</t>
  </si>
  <si>
    <t>ha_corosync_NeighborMtu</t>
  </si>
  <si>
    <t>Link mtu size</t>
  </si>
  <si>
    <t>ha_corosync_NeighborRxDataBytes</t>
  </si>
  <si>
    <t>The number of bytes sent/received on this link</t>
  </si>
  <si>
    <t>ha_corosync_NeighborTxDataBytes</t>
  </si>
  <si>
    <t>ha_corosync_NeighborRxDataPackets</t>
  </si>
  <si>
    <t>ha_corosync_NeighborTxDataPackets</t>
  </si>
  <si>
    <t>ha_corosync_NeighborRxPingBytes</t>
  </si>
  <si>
    <t>he number of bytes sent/received as pings</t>
  </si>
  <si>
    <t>ha_corosync_NeighborTxPingBytes</t>
  </si>
  <si>
    <t>ha_corosync_NeighborRxPingPackets</t>
  </si>
  <si>
    <t>he number of packets sent/received as pings</t>
  </si>
  <si>
    <t>ha_corosync_NeighborTxPingPackets</t>
  </si>
  <si>
    <t>ha_corosync_NeighborRxPmtuBytes</t>
  </si>
  <si>
    <t>The number of bytes sent/received by the PMTUd subsystem</t>
  </si>
  <si>
    <t>ha_corosync_NeighborTxPmtuBytes</t>
  </si>
  <si>
    <t>ha_corosync_NeighborRxPmtuPackets</t>
  </si>
  <si>
    <t>The number of packets sent/received by the PMTUd subsystem</t>
  </si>
  <si>
    <t>ha_corosync_NeighborTxPmtuPackets</t>
  </si>
  <si>
    <t>ha_corosync_NeighborRxpongBytes</t>
  </si>
  <si>
    <t>The number of bytes sent/received as pongs</t>
  </si>
  <si>
    <t>ha_corosync_NeighborTxpongBytes</t>
  </si>
  <si>
    <t>ha_corosync_NeighborRxpongPackets</t>
  </si>
  <si>
    <t>The number of packets sent/received as pongs</t>
  </si>
  <si>
    <t>ha_corosync_NeighborTxpongPackets</t>
  </si>
  <si>
    <t>ha_corosync_NeighborRxTotalBytes</t>
  </si>
  <si>
    <t>he total number of bytes sent/received. The aggregate of all of the above bytes stats</t>
  </si>
  <si>
    <t>ha_corosync_NeighborTxTotalBytes</t>
  </si>
  <si>
    <t>ha_corosync_NeighborRxTotalPackets</t>
  </si>
  <si>
    <t>he total number of packets sent/received. The aggregate of all of the above packets stats</t>
  </si>
  <si>
    <t>ha_corosync_NeighborTxTotalPackets</t>
  </si>
  <si>
    <t>ha_corosync_NeighborTxDataErrors</t>
  </si>
  <si>
    <t>Number of times a transmit operation failed</t>
  </si>
  <si>
    <t>ha_corosync_NeighborTxPingErrors</t>
  </si>
  <si>
    <t>ha_corosync_NeighborTxPmtuErrors</t>
  </si>
  <si>
    <t>ha_corosync_NeighborTxpongErrors</t>
  </si>
  <si>
    <t>ha_corosync_NeighborTxTotalErrors</t>
  </si>
  <si>
    <t>ha_corosync_NeighborTxDataRetries</t>
  </si>
  <si>
    <t>Number of times a transmit operation had to be retried due to the socket returning EAGAIN</t>
  </si>
  <si>
    <t>ha_corosync_NeighborTxpongRetries</t>
  </si>
  <si>
    <t>ha_corosync_NeighborTxPmtuRetries</t>
  </si>
  <si>
    <t>ha_corosync_NeighborTxPingRetries</t>
  </si>
  <si>
    <t>ha_corosync_NeighborTxTotalRetries</t>
  </si>
  <si>
    <t>ha_corosync_NeighborUpCount</t>
  </si>
  <si>
    <t>Number of times this link has changed state to UP</t>
  </si>
  <si>
    <t>v52</t>
  </si>
  <si>
    <t>mdName=
rpdName=
cmMacAddr=
cpeMacAddr=
cpeIpv4Addr=
cpeIpv4Prefix=
cpeIpv6Addr=
cpeIpv6Prefix=
cpeLearned=
cpeType=
vlan=
fnName=</t>
  </si>
  <si>
    <r>
      <t xml:space="preserve">Count of CMs with the particular DOCS-IF3-MIB CmRegState value per USSG
CmRegState will be 
TelemRegState {                                                                                                                       offline                     =1                                                                                                        initialRanging              =2                                                                                                        rangingAutoAdjComplete      =4                                                                                                        dhcpv4Complete              =5                                                                                                        startDhcpv4                 =11                                                                                                       startDhcpv6                 =12                                                                                                       dhcpv6Complete              =13                                                                                                       nb_online                   =30                                                                                                       d20_online                  =31                                                                                                       p_online                    =32                                                                                                       d30_online                  =33                                                                                                       d31_online                  =34 
init_pk                     =35
reject_pk                   =36                                                                                                   }
</t>
    </r>
    <r>
      <rPr>
        <sz val="11"/>
        <color rgb="FFFF0000"/>
        <rFont val="Calibri"/>
        <family val="2"/>
      </rPr>
      <t>fnName: there might be more than one fiber nodes associated the rpd, the label would contain a list, for example,  fnName = HHHHDnnn0A,HHHHDnnn0B</t>
    </r>
  </si>
  <si>
    <r>
      <t xml:space="preserve">usRfPort = "us1:0/10"   or "us1:0/11"
</t>
    </r>
    <r>
      <rPr>
        <sz val="11"/>
        <color rgb="FFFF0000"/>
        <rFont val="Calibri"/>
        <family val="2"/>
      </rPr>
      <t>fnName only contains the fiber node associated with the usRfPort.</t>
    </r>
  </si>
  <si>
    <t xml:space="preserve">tosAndMask=
tosOrMask=
maxLatencyUsecs=
requestPolicyOpt=
requiredAttrMask=
forbiddenAttrMask=
attrAggrRuleMask=
applicationId=
multiplierCRW=
multiplierBytesReq=
maxReqPerCluster=
maxOutBytesPerCluster=
maxTotalBytesPerCluster=
maxTimeInClusterMsecs=
peakTrafficRateBps=
dsResequencing=
minBufferBytes=
targetBufferBytes=
maxBufferBytes=
aqmDisabled=
aqmTargetMsecs=
aqmAlgorithm=
flowWeight=
fnName=
</t>
  </si>
  <si>
    <t>ifName
mdName
rpdName
fnName</t>
  </si>
  <si>
    <t>Includes counts for both SCQAM and OFDM/OFDMA channels as indicated by "ifName":
 * SCQAM downstream ifName = "Ds..."
  * SCQAM upstream ifName = "Us.."
  * OFDM downstream ifName = "Of..."
  * OFDMA upstream ifName = "Oa..."
Reported by the "telemd-cd" container of the active "vmts-cd" pod for the mac domain. All metrics have an "mdName" label to identify the mac-domain and an "ifName" lable to identify the interface in that mac-domain. Note that some metrics apply to the mac-domain as and interface in which the same name appears in both labels. 
fnName: 
DS channel or mac-domains metrics may be associated with 1 or more fiber-node. In such a case, the fnName label format:
fnName = HHHHDnnn0A,HHHHDnnn0B</t>
  </si>
  <si>
    <t>rpdName=
mdName=
ifName=
adminState=
configBdryLowerHz=
configBdryUpperHz=
cyclicSamples=
defaultOfdmProfile=
gbandLowerIndex=
gbandUpperIndex=
interleave=
pilotScaleFactor=
plcBlockFreqHz=
powerAdjustDb
queryLoadPct=
queryPeriodSecs=
rfMute=
rolloffSamples=
subcSpacing=
fnName=</t>
  </si>
  <si>
    <t>rpdName=
mdName=
ifName=
activeBdryLowerHz=
activeBdryUpperHz=
activeSubcFirst=
activeSubcLast=
channelCenterHz=
cyclicUsecs=
docsisChanId=
fftMode=
gbandLowerWidthHz=
gbandUpperWidthHz=
numActiveSubc=
numPilots=
rolloffUsecs=
subcZeroCenterHz=
fnName=</t>
  </si>
  <si>
    <t>rpdName=
mdName=
ifName=
changeCount=
listSubc=
numSubc=
rangeCenterHzFirst=
rangeCenterHzLast=
rangeSubcFirst=
rangeSubcLast=
type=
fnName=</t>
  </si>
  <si>
    <t>mdName=
 rpdName=
 cmMacAddr=
 ifName=
 msIndex=
fnName=</t>
  </si>
  <si>
    <t>rpdName=
rpdId=
rpdMacAddr=
rpdIpAddr
status=
fnName=</t>
  </si>
  <si>
    <t>alias=
assetId=
bootRomVersion=
currentSwVersion=
description=
hwRevision=
latitute=
longitude=
modelNumber=
ptpState=
reefBaseMacAddr=
reefFwVersion=
reefHwDate=
reefHwVersion=
reefModelNumber=
reefPs1Type=
reefPs2Type=
reefRpdSlotId
reefSerialNumber=
rpdId=
RpdName=
rpdMacAddr=
rpdIpAddr=
rpdName=
serialNumber=
status=
vendorId=
vendorName=
fnName=</t>
  </si>
  <si>
    <t>rpdId=
rpdName=
rpdMacAddr=
numDsRfPorts=
numUsRfPorts=
numDsScQamChannels=
numDsOfdmChannels=
numUsScQamChannels=
numUsOfdmaChannels=
maxDsFrequency=
minDsFrquency=
maxBasePower=
minPowerAdjustScQam=
maxPowerAdjustScQam=
minPowerAdjustOfdm=
maxPowerAdjustOfdm=
fnName=</t>
  </si>
  <si>
    <t>rpdName=
rpdId=
rpdMacAddr=
ptpState=
fnName=</t>
  </si>
  <si>
    <t>mdName=
rpdName=
ifName=
fnName=</t>
  </si>
  <si>
    <t>mdName=
rpdName=
ifName=
profileId=
fnName=</t>
  </si>
  <si>
    <t>mdName=
rpdName=
ifName=
profileId=
profileName=
modulationId=
modulationName=
subcFirst=
subcLast=
fnName=</t>
  </si>
  <si>
    <t>mdName=
ifName=
rpdName=
fnName=</t>
  </si>
  <si>
    <t>rpdName=
mdName=
ifName=
dataIuc=
fnName=</t>
  </si>
  <si>
    <t>mdName=
rpdName=
ifName=
cmMacAddr=
dataIuc=
fnName=</t>
  </si>
  <si>
    <t>mdName=
rpdName=
dir=
fnName=</t>
  </si>
  <si>
    <t>mdName=
rpdName=
dir=
mmm=
enabled= 
initTech=
balancing-period-secs=
min-chan-load-pct= 
min-load-diff-pct=
min-stddev-load-pct=
fnName=</t>
  </si>
  <si>
    <t>mdName=
rpdName=
dir=
mmm=
fnName=</t>
  </si>
  <si>
    <t>mdName=
rpdName=
fnName=</t>
  </si>
  <si>
    <r>
      <t xml:space="preserve">cmMacAddr - [key] CM Mac address in IEEE lower-case hex canonical form
mdName - CLI mac domain name
rpdName - RPD name
caCertIssuer - Authorizing CA cert "Issuer" string 
caCertSerial - Authorizing CA cert "Serial" string. 
expires - As shown in "Expiration time:" in the certificate. 
publicKey - hexstring of CM Cert's public key
cmCertSerial - Serial number of CM Cert as upper-case hexstring 
isValid - { "yes", "no" } 
status - name of docsBpi2CmtsCACertTrust enum name: { "trusted", "untrusted", "chained", "root" }
errorCode - string representation of error codes from "openssl/x509_vfy.h"
</t>
    </r>
    <r>
      <rPr>
        <sz val="11"/>
        <color rgb="FFFF0000"/>
        <rFont val="Calibri"/>
        <family val="2"/>
      </rPr>
      <t xml:space="preserve">fnName -- name of the node segment  reaching the CM, as configured in "fiber-node-config". </t>
    </r>
  </si>
  <si>
    <r>
      <t xml:space="preserve">cmMacAddr=
mdName=
rpdName=
caCertIssuer=
caCertSerial=
expires=
publicKey=
cmCertSerial=
isValid=
status=
errorCode=
</t>
    </r>
    <r>
      <rPr>
        <sz val="11"/>
        <color rgb="FFFF0000"/>
        <rFont val="Calibri"/>
        <family val="2"/>
      </rPr>
      <t>fnName=</t>
    </r>
  </si>
  <si>
    <t xml:space="preserve">Description </t>
  </si>
  <si>
    <r>
      <t xml:space="preserve">Add more "attribute labels" to K_CmRegStatus_RegStatus to permit display of the most commonly-displayed attributes from the CLI "show cable modem" command. cmRegState same as K_CmSummary.  "regStatus" label is same as enumeration name of value e.g. with value 33 regStatus label is "d30-online".
    d3NonBonded =  "yes" if CM is D3.0 bonding capable but registered with docsis Version 2.0; or "no" otherwise.
    docsisVersion = { "1.0" "1.1" "2.0" "3.0" "3.1" }
    ipV4Addr [note capital "V"]= dotted decimal of CM's IPv4 address or "0.0.0.0"
    ipv6Addr [note lower-case "v"]= zero-filled CM IPv6 address or all-zeroes. 
    ipv6LinkLocal = zero-filled CM IPv6 link-local address or all-zeros. 
    partialSvcState =  {   other  none partialSvcDsOnlyImpaired  partialSvcUsOnlyImpaired partialSvcDsAndUsImpaired}
</t>
    </r>
    <r>
      <rPr>
        <sz val="10"/>
        <rFont val="Tahoma"/>
        <family val="2"/>
      </rPr>
      <t xml:space="preserve">    partialChannelState= decimal string as sum of independent values fecErrorsDsProfile(1),  fecErrorsNcpProfile(2), and  fecErrorsPlc(4).</t>
    </r>
    <r>
      <rPr>
        <sz val="10"/>
        <rFont val="Tahoma"/>
        <family val="2"/>
        <charset val="1"/>
      </rPr>
      <t xml:space="preserve">
    ofdmProfileIdList = hex string without leading 0x. 1st byte is ofdm channel ID. 2nd byte is count of profiles N.  Following N bytes identify profiles with "A" as 00. 
    rcs =  two hexadecimal chars for each octet of list of channel IDS in RCS referenced by docsIf3CmtsCmRegStatusRcsId without leading "0x".
    rcsId = hex RCS Id 
    tcs = two hexadecimal chars for each octet of List of Channel Ids in TCS referenced by  docsIf3CmtsCmRegStatusTcsId without leading "0x"
    rcsId = hex TCS Id
    minUsableDsFreq= Minimum ds frequency capability
    maxUsableDsFreq= Maximum ds frequency capability 
    maxUseableUsFreq= Maximum us frequency capability
    scqamCap = CLI "scm" field "BOND CAP" i.e. "MxN" where M is the CM's SCQAM Multiple Receive Channel (MRC) capability and N is the CM's SCQAM Multiple Transmit Channel (MTC) capability. For pre-3.0 CMs report as "1x1".
    scqamActual = CLI "scm bonding" field "BOND ACT" as "MxN" for the actual number of M downstream and N upstream channels used by the CM. 
    ofdmCap= CLI "scm" field "OFDM CAP"  i.e. "MxN" where M is the CM's OFDM Multiple Receive Channel capablity and N is the CM's OFDMA Multiple Transmit Channel capability. For pre-3.1 CMs report as "-".
    ofdmActual = CLI "scm bonding" field "OFDM ACT" as "MxN" for the actual number of M downstream OFDM and N upstream OFDMA channels used by the CM. 
    "-") if none
    numCpe = number of CPEs on the CM in decimal.  [Derivable as count (K_CmCpeList) but included here for display in table panel
    bpiProtected = yes/no
    primaryDsChan = DsX:Y/Z/W  from "scm verbose" as "Primary Downstream". 
    primaryUsChan = UsX:Y/Z/W.0  as the upstream logical channel shown in "scm verbose" with "Pre-Registration" row as "true".
    dsBondingGroup = DsX:Y/Z:Dxxx name of DS bonding group of the CM's receive channel set or "-" if non-bonding
    usBondingGroup = UsX:Y/Z:Uxxx name of the US bonding group of CM's transmit channel set or "-" if non-bonding</t>
    </r>
  </si>
  <si>
    <t>mulpi_CmStatus_PerChannel</t>
  </si>
  <si>
    <t>mulpi_CmStatus_PerCm</t>
  </si>
  <si>
    <t>'mdName' label is the mac-domain that the cm belongs to
'cmMacAddress' label is the mac address of the the cm that sent the event
 'OfdmProfileId' label is the id of the profile in an ofdm ds event. Does not appear in metrics if there is no profile id to the ofdm ds event
'OfdmaProfileId' label is the id of the profile in an ofdma us event. Does not appear in metrics if there is no profile id to the ofdma us event
'profileName' label is the name of the profile. Does not appear if the event does not have a profile.
'event' label is the event type name</t>
  </si>
  <si>
    <t>mulpi_CmStatus</t>
  </si>
  <si>
    <t xml:space="preserve">count of cm status events received from the CM.
</t>
  </si>
  <si>
    <t>This metric is disabled by default for all mac-domains.
The user can enable it per mac-domain with configuration command 'cable mac-domain &lt;mac_domain&gt; cm-status per-modem-telemetry enabled'</t>
  </si>
  <si>
    <t xml:space="preserve">count of cm status events received from the CM.
The events are counted per md-cm_mac-profile_id-event_type.
</t>
  </si>
  <si>
    <t>mdName=
cmMacAddress=
event=
ofdmProfileId=
ofdmaProfileId=
profileName=</t>
  </si>
  <si>
    <t>mdName' label is the mac-domain that the cm belongs to
'IfName' label is the name of the channel the cm event happened on
'ofdmProfileId' label is the id of the profile in an ofdm ds event. Does not appear in metrics if there is no profile id to the ofdm ds event
'ofdmaProfileId' label is the id of the profile in an ofdma us event. Does not appear in metrics if there is no profile id to the ofdma us event
'profileName' label is the name of the profile. Does not appear if the event does not have a profile.
'event' label is the event type name</t>
  </si>
  <si>
    <t>The events are counted per md-&gt;channel-&gt;profileId-&gt;eventType. The labels {ofdmProfileId=, profileName=} will only appear if the events is an ofdm ds channel event with a profile.
The labels {ofdmaProfileId=, profileName=} will only appear if the events is an ofdma us channel event with a profile.</t>
  </si>
  <si>
    <t>mdName=
ifName=
event=
ofdmProfileId=
ofdmaProfileId=
profileName=</t>
  </si>
  <si>
    <t>* CBLOS-55420: mulpi_CmStatus telemetry couting CM-STATUS reports.
* CBLOS-59671: Node Segment Label for vCMTS telemetry -- Add "fnName=" label for all metrics with rpdName label except K_Samis1 and snmp_docsQosServiceFlow.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</si>
</sst>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4" x14ac:knownFonts="1">
    <font>
      <sz val="11"/>
      <color rgb="FF000000"/>
      <name val="Calibri"/>
      <family val="2"/>
      <charset val="1"/>
    </font>
    <font>
      <sz val="11"/>
      <name val="Calibri"/>
      <family val="2"/>
      <charset val="1"/>
    </font>
    <font>
      <sz val="11"/>
      <color rgb="FFFF0000"/>
      <name val="Calibri"/>
      <family val="2"/>
      <charset val="1"/>
    </font>
    <font>
      <b/>
      <sz val="11"/>
      <name val="Calibri"/>
      <family val="2"/>
      <charset val="1"/>
    </font>
    <font>
      <b/>
      <sz val="14"/>
      <name val="Calibri"/>
      <family val="2"/>
      <charset val="1"/>
    </font>
    <font>
      <sz val="14"/>
      <name val="Calibri"/>
      <family val="2"/>
      <charset val="1"/>
    </font>
    <font>
      <b/>
      <sz val="9"/>
      <color rgb="FF000000"/>
      <name val="Tahoma"/>
      <family val="2"/>
      <charset val="1"/>
    </font>
    <font>
      <sz val="20"/>
      <name val="Calibri"/>
      <family val="2"/>
      <charset val="1"/>
    </font>
    <font>
      <sz val="12"/>
      <name val="Tahoma"/>
      <family val="2"/>
      <charset val="1"/>
    </font>
    <font>
      <sz val="10"/>
      <name val="Tahoma"/>
      <family val="2"/>
      <charset val="1"/>
    </font>
    <font>
      <sz val="12"/>
      <name val="Calibri"/>
      <family val="2"/>
      <charset val="1"/>
    </font>
    <font>
      <b/>
      <sz val="20"/>
      <name val="Calibri"/>
      <family val="2"/>
      <charset val="1"/>
    </font>
    <font>
      <i/>
      <sz val="11"/>
      <name val="Calibri"/>
      <family val="2"/>
      <charset val="1"/>
    </font>
    <font>
      <sz val="11"/>
      <color rgb="FF4F81BD"/>
      <name val="Calibri"/>
      <family val="2"/>
      <charset val="1"/>
    </font>
    <font>
      <sz val="18"/>
      <color rgb="FF000000"/>
      <name val="Calibri"/>
      <family val="2"/>
      <charset val="1"/>
    </font>
    <font>
      <sz val="16"/>
      <name val="Calibri"/>
      <family val="2"/>
      <charset val="1"/>
    </font>
    <font>
      <sz val="8"/>
      <color rgb="FF172B4D"/>
      <name val="Segoe UI"/>
      <family val="2"/>
      <charset val="1"/>
    </font>
    <font>
      <b/>
      <sz val="11"/>
      <color rgb="FF172B4D"/>
      <name val="Segoe UI"/>
      <family val="2"/>
      <charset val="1"/>
    </font>
    <font>
      <sz val="11"/>
      <color rgb="FF000000"/>
      <name val="Segoe UI"/>
      <family val="2"/>
      <charset val="1"/>
    </font>
    <font>
      <sz val="11"/>
      <color rgb="FF000000"/>
      <name val="Calibri"/>
      <family val="2"/>
      <charset val="1"/>
    </font>
    <font>
      <sz val="11"/>
      <color rgb="FF000000"/>
      <name val="Calibri"/>
      <family val="2"/>
    </font>
    <font>
      <sz val="11"/>
      <color rgb="FFFFFFFF"/>
      <name val="Calibri"/>
      <family val="2"/>
      <scheme val="minor"/>
    </font>
    <font>
      <sz val="11"/>
      <color rgb="FF000000"/>
      <name val="Calibri"/>
      <family val="2"/>
      <scheme val="minor"/>
    </font>
    <font>
      <sz val="12"/>
      <name val="Calibri"/>
      <family val="1"/>
      <charset val="1"/>
    </font>
    <font>
      <sz val="11"/>
      <name val="Courier New"/>
      <family val="3"/>
      <charset val="1"/>
    </font>
    <font>
      <sz val="8"/>
      <name val="Calibri"/>
      <family val="2"/>
      <charset val="1"/>
    </font>
    <font>
      <b/>
      <sz val="10"/>
      <name val="Tahoma"/>
      <family val="2"/>
      <charset val="1"/>
    </font>
    <font>
      <b/>
      <sz val="12"/>
      <name val="Tahoma"/>
      <family val="2"/>
      <charset val="1"/>
    </font>
    <font>
      <b/>
      <sz val="14"/>
      <name val="Calibri"/>
      <family val="2"/>
    </font>
    <font>
      <sz val="11"/>
      <name val="Calibri"/>
      <family val="2"/>
    </font>
    <font>
      <sz val="11"/>
      <color rgb="FFFF0000"/>
      <name val="Calibri"/>
      <family val="2"/>
    </font>
    <font>
      <sz val="11"/>
      <color theme="1"/>
      <name val="Calibri"/>
      <family val="2"/>
      <charset val="1"/>
    </font>
    <font>
      <sz val="10"/>
      <name val="Tahoma"/>
      <family val="2"/>
    </font>
    <font>
      <sz val="14"/>
      <color rgb="FFFF0000"/>
      <name val="Calibri"/>
      <family val="2"/>
    </font>
  </fonts>
  <fills count="8">
    <fill>
      <patternFill patternType="none"/>
    </fill>
    <fill>
      <patternFill patternType="gray125"/>
    </fill>
    <fill>
      <patternFill patternType="solid">
        <fgColor rgb="FF00B0F0"/>
        <bgColor rgb="FF33CCCC"/>
      </patternFill>
    </fill>
    <fill>
      <patternFill patternType="solid">
        <fgColor rgb="FFDCE6F2"/>
        <bgColor rgb="FFDBEEF4"/>
      </patternFill>
    </fill>
    <fill>
      <patternFill patternType="solid">
        <fgColor rgb="FFDBEEF4"/>
        <bgColor rgb="FFDCE6F2"/>
      </patternFill>
    </fill>
    <fill>
      <patternFill patternType="solid">
        <fgColor rgb="FFF4F5F7"/>
        <bgColor rgb="FFFFFFFF"/>
      </patternFill>
    </fill>
    <fill>
      <patternFill patternType="solid">
        <fgColor rgb="FFFF0000"/>
        <bgColor indexed="64"/>
      </patternFill>
    </fill>
    <fill>
      <patternFill patternType="solid">
        <fgColor rgb="FF00B0F0"/>
        <bgColor indexed="64"/>
      </patternFill>
    </fill>
  </fills>
  <borders count="8">
    <border>
      <left/>
      <right/>
      <top/>
      <bottom/>
      <diagonal/>
    </border>
    <border>
      <left/>
      <right/>
      <top/>
      <bottom style="thin">
        <color auto="1"/>
      </bottom>
      <diagonal/>
    </border>
    <border>
      <left/>
      <right/>
      <top style="thin">
        <color auto="1"/>
      </top>
      <bottom/>
      <diagonal/>
    </border>
    <border>
      <left/>
      <right style="medium">
        <color rgb="FFD4D4D4"/>
      </right>
      <top/>
      <bottom/>
      <diagonal/>
    </border>
    <border>
      <left/>
      <right/>
      <top style="thin">
        <color auto="1"/>
      </top>
      <bottom style="thin">
        <color auto="1"/>
      </bottom>
      <diagonal/>
    </border>
    <border>
      <left/>
      <right/>
      <top/>
      <bottom style="medium">
        <color rgb="FFC1C7D0"/>
      </bottom>
      <diagonal/>
    </border>
    <border>
      <left style="medium">
        <color rgb="FFC1C7D0"/>
      </left>
      <right style="medium">
        <color rgb="FFC1C7D0"/>
      </right>
      <top style="medium">
        <color rgb="FFC1C7D0"/>
      </top>
      <bottom style="medium">
        <color rgb="FFC1C7D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9" fillId="0" borderId="0"/>
  </cellStyleXfs>
  <cellXfs count="146">
    <xf numFmtId="0" fontId="0" fillId="0" borderId="0" xfId="0"/>
    <xf numFmtId="0" fontId="0" fillId="0" borderId="0" xfId="0" applyFont="1"/>
    <xf numFmtId="0" fontId="0" fillId="0" borderId="0" xfId="0" applyFont="1" applyAlignment="1">
      <alignment wrapText="1"/>
    </xf>
    <xf numFmtId="0" fontId="1" fillId="0" borderId="0" xfId="0" applyFont="1" applyAlignment="1">
      <alignment wrapText="1"/>
    </xf>
    <xf numFmtId="0" fontId="0" fillId="0" borderId="0" xfId="0" applyFont="1" applyBorder="1" applyAlignment="1">
      <alignment horizontal="left" wrapText="1"/>
    </xf>
    <xf numFmtId="0" fontId="4" fillId="0" borderId="2" xfId="0" applyFont="1" applyBorder="1"/>
    <xf numFmtId="0" fontId="1" fillId="0" borderId="0" xfId="0" applyFont="1"/>
    <xf numFmtId="0" fontId="1" fillId="0" borderId="0" xfId="0" applyFont="1" applyBorder="1" applyAlignment="1">
      <alignment horizontal="left" wrapText="1"/>
    </xf>
    <xf numFmtId="0" fontId="1" fillId="2" borderId="1" xfId="0" applyFont="1" applyFill="1" applyBorder="1"/>
    <xf numFmtId="0" fontId="1" fillId="2" borderId="1" xfId="0" applyFont="1" applyFill="1" applyBorder="1" applyAlignment="1">
      <alignment wrapText="1"/>
    </xf>
    <xf numFmtId="0" fontId="1" fillId="2" borderId="1" xfId="0" applyFont="1" applyFill="1" applyBorder="1" applyAlignment="1">
      <alignment horizontal="left" wrapText="1"/>
    </xf>
    <xf numFmtId="0" fontId="8" fillId="0" borderId="0" xfId="1" applyFont="1" applyAlignment="1">
      <alignment horizontal="left" vertical="center" wrapText="1"/>
    </xf>
    <xf numFmtId="0" fontId="9" fillId="0" borderId="0" xfId="1" applyFont="1" applyAlignment="1">
      <alignment horizontal="left" vertical="center" wrapText="1"/>
    </xf>
    <xf numFmtId="0" fontId="10" fillId="0" borderId="0" xfId="1" applyFont="1" applyAlignment="1">
      <alignment vertical="center" wrapText="1"/>
    </xf>
    <xf numFmtId="0" fontId="2" fillId="0" borderId="0" xfId="0" applyFont="1"/>
    <xf numFmtId="0" fontId="2" fillId="0" borderId="0" xfId="0" applyFont="1" applyAlignment="1">
      <alignment wrapText="1"/>
    </xf>
    <xf numFmtId="0" fontId="1" fillId="0" borderId="1" xfId="0" applyFont="1" applyBorder="1"/>
    <xf numFmtId="15" fontId="1" fillId="0" borderId="1" xfId="0" applyNumberFormat="1" applyFont="1" applyBorder="1" applyAlignment="1">
      <alignment wrapText="1"/>
    </xf>
    <xf numFmtId="0" fontId="1" fillId="0" borderId="0" xfId="0" applyFont="1" applyBorder="1"/>
    <xf numFmtId="0" fontId="1" fillId="0" borderId="0" xfId="0" applyFont="1" applyBorder="1" applyAlignment="1">
      <alignment wrapText="1"/>
    </xf>
    <xf numFmtId="0" fontId="12" fillId="0" borderId="0" xfId="0" applyFont="1"/>
    <xf numFmtId="0" fontId="3" fillId="0" borderId="0" xfId="0" applyFont="1"/>
    <xf numFmtId="0" fontId="13" fillId="0" borderId="0" xfId="0" applyFont="1"/>
    <xf numFmtId="0" fontId="13" fillId="0" borderId="0" xfId="0" applyFont="1" applyAlignment="1">
      <alignment wrapText="1"/>
    </xf>
    <xf numFmtId="0" fontId="13" fillId="0" borderId="0" xfId="0" applyFont="1" applyBorder="1" applyAlignment="1">
      <alignment horizontal="left" wrapText="1"/>
    </xf>
    <xf numFmtId="0" fontId="12" fillId="0" borderId="0" xfId="0" applyFont="1" applyAlignment="1">
      <alignment wrapText="1"/>
    </xf>
    <xf numFmtId="0" fontId="12" fillId="0" borderId="0" xfId="0" applyFont="1" applyBorder="1" applyAlignment="1">
      <alignment horizontal="left" wrapText="1"/>
    </xf>
    <xf numFmtId="0" fontId="0" fillId="0" borderId="0" xfId="0" applyAlignment="1">
      <alignment wrapText="1"/>
    </xf>
    <xf numFmtId="0" fontId="14" fillId="0" borderId="0" xfId="0" applyFont="1"/>
    <xf numFmtId="0" fontId="15" fillId="2" borderId="0" xfId="0" applyFont="1" applyFill="1"/>
    <xf numFmtId="0" fontId="15" fillId="2" borderId="0" xfId="0" applyFont="1" applyFill="1" applyAlignment="1">
      <alignment wrapText="1"/>
    </xf>
    <xf numFmtId="0" fontId="15" fillId="2" borderId="0" xfId="0" applyFont="1" applyFill="1" applyBorder="1" applyAlignment="1">
      <alignment wrapText="1"/>
    </xf>
    <xf numFmtId="0" fontId="15" fillId="0" borderId="0" xfId="0" applyFont="1" applyBorder="1"/>
    <xf numFmtId="0" fontId="15" fillId="0" borderId="0" xfId="0" applyFont="1"/>
    <xf numFmtId="0" fontId="17" fillId="5" borderId="6" xfId="0" applyFont="1" applyFill="1" applyBorder="1" applyAlignment="1">
      <alignment horizontal="left" vertical="center" wrapText="1"/>
    </xf>
    <xf numFmtId="0" fontId="17" fillId="5" borderId="6" xfId="0" applyFont="1" applyFill="1" applyBorder="1" applyAlignment="1">
      <alignment horizontal="center" vertical="center" wrapText="1"/>
    </xf>
    <xf numFmtId="0" fontId="18" fillId="0" borderId="6" xfId="0" applyFont="1" applyBorder="1" applyAlignment="1">
      <alignment horizontal="left" vertical="top" wrapText="1"/>
    </xf>
    <xf numFmtId="0" fontId="18" fillId="0" borderId="6" xfId="0" applyFont="1" applyBorder="1" applyAlignment="1">
      <alignment horizontal="center" vertical="top" wrapText="1"/>
    </xf>
    <xf numFmtId="0" fontId="0" fillId="7" borderId="0" xfId="0" applyFill="1"/>
    <xf numFmtId="0" fontId="0" fillId="7" borderId="0" xfId="0" applyFill="1" applyAlignment="1">
      <alignment wrapText="1"/>
    </xf>
    <xf numFmtId="0" fontId="22" fillId="7" borderId="0" xfId="0" applyFont="1" applyFill="1" applyAlignment="1">
      <alignment wrapText="1"/>
    </xf>
    <xf numFmtId="0" fontId="23" fillId="0" borderId="0" xfId="0" applyFont="1" applyAlignment="1">
      <alignment wrapText="1"/>
    </xf>
    <xf numFmtId="0" fontId="1" fillId="2" borderId="0" xfId="0" applyFont="1" applyFill="1" applyBorder="1"/>
    <xf numFmtId="0" fontId="1" fillId="2" borderId="0" xfId="0" applyFont="1" applyFill="1" applyBorder="1" applyAlignment="1">
      <alignment wrapText="1"/>
    </xf>
    <xf numFmtId="0" fontId="1" fillId="0" borderId="2" xfId="0" applyFont="1" applyBorder="1"/>
    <xf numFmtId="0" fontId="1" fillId="0" borderId="2" xfId="0" applyFont="1" applyBorder="1" applyAlignment="1">
      <alignment vertical="center" wrapText="1"/>
    </xf>
    <xf numFmtId="0" fontId="4" fillId="0" borderId="0" xfId="0" applyFont="1" applyBorder="1"/>
    <xf numFmtId="0" fontId="1" fillId="0" borderId="0" xfId="0" applyFont="1" applyBorder="1" applyAlignment="1">
      <alignment vertical="center" wrapText="1"/>
    </xf>
    <xf numFmtId="0" fontId="24" fillId="0" borderId="0" xfId="0" applyFont="1" applyBorder="1" applyAlignment="1">
      <alignment vertical="center" wrapText="1"/>
    </xf>
    <xf numFmtId="0" fontId="25" fillId="0" borderId="0" xfId="0" applyFont="1" applyAlignment="1">
      <alignment vertical="center" wrapText="1"/>
    </xf>
    <xf numFmtId="0" fontId="4" fillId="0" borderId="2" xfId="0" applyFont="1" applyBorder="1" applyAlignment="1">
      <alignment wrapText="1"/>
    </xf>
    <xf numFmtId="0" fontId="26" fillId="0" borderId="0" xfId="1" applyFont="1" applyBorder="1"/>
    <xf numFmtId="0" fontId="9" fillId="0" borderId="0" xfId="1" applyFont="1" applyBorder="1"/>
    <xf numFmtId="0" fontId="9" fillId="0" borderId="0" xfId="1" applyFont="1"/>
    <xf numFmtId="0" fontId="8" fillId="0" borderId="0" xfId="1" applyFont="1" applyAlignment="1">
      <alignment vertical="center" wrapText="1"/>
    </xf>
    <xf numFmtId="0" fontId="27" fillId="0" borderId="0" xfId="1" applyFont="1" applyBorder="1"/>
    <xf numFmtId="0" fontId="8" fillId="0" borderId="0" xfId="1" applyFont="1" applyBorder="1" applyAlignment="1">
      <alignment vertical="center" wrapText="1"/>
    </xf>
    <xf numFmtId="0" fontId="9" fillId="0" borderId="0" xfId="1" applyFont="1" applyAlignment="1">
      <alignment vertical="center" wrapText="1"/>
    </xf>
    <xf numFmtId="0" fontId="4" fillId="3" borderId="2" xfId="0" applyFont="1" applyFill="1" applyBorder="1" applyAlignment="1">
      <alignment wrapText="1"/>
    </xf>
    <xf numFmtId="0" fontId="4" fillId="4" borderId="2" xfId="0" applyFont="1" applyFill="1" applyBorder="1" applyAlignment="1">
      <alignment wrapText="1"/>
    </xf>
    <xf numFmtId="0" fontId="1" fillId="0" borderId="2" xfId="0" applyFont="1" applyBorder="1" applyAlignment="1">
      <alignment horizontal="left" wrapText="1"/>
    </xf>
    <xf numFmtId="0" fontId="1" fillId="0" borderId="1" xfId="0" applyFont="1" applyBorder="1" applyAlignment="1">
      <alignment wrapText="1"/>
    </xf>
    <xf numFmtId="0" fontId="1" fillId="0" borderId="0" xfId="0" applyFont="1" applyAlignment="1">
      <alignment vertical="center" wrapText="1"/>
    </xf>
    <xf numFmtId="164" fontId="1" fillId="0" borderId="2" xfId="0" applyNumberFormat="1" applyFont="1" applyBorder="1"/>
    <xf numFmtId="164" fontId="1" fillId="0" borderId="0" xfId="0" applyNumberFormat="1" applyFont="1" applyBorder="1"/>
    <xf numFmtId="0" fontId="24" fillId="0" borderId="2" xfId="0" applyFont="1" applyBorder="1" applyAlignment="1">
      <alignment vertical="center" wrapText="1"/>
    </xf>
    <xf numFmtId="0" fontId="4" fillId="0" borderId="2" xfId="0" applyFont="1" applyBorder="1" applyAlignment="1">
      <alignment vertical="center" wrapText="1"/>
    </xf>
    <xf numFmtId="0" fontId="4" fillId="0" borderId="0" xfId="0" applyFont="1"/>
    <xf numFmtId="0" fontId="1" fillId="0" borderId="3" xfId="0" applyFont="1" applyBorder="1" applyAlignment="1">
      <alignment vertical="center" wrapText="1"/>
    </xf>
    <xf numFmtId="0" fontId="4" fillId="4" borderId="2" xfId="0" applyFont="1" applyFill="1" applyBorder="1"/>
    <xf numFmtId="0" fontId="3" fillId="0" borderId="2" xfId="0" applyFont="1" applyBorder="1" applyAlignment="1">
      <alignment wrapText="1"/>
    </xf>
    <xf numFmtId="0" fontId="3" fillId="0" borderId="2" xfId="0" applyFont="1" applyBorder="1"/>
    <xf numFmtId="0" fontId="3" fillId="0" borderId="0" xfId="0" applyFont="1" applyBorder="1"/>
    <xf numFmtId="0" fontId="24" fillId="0" borderId="0" xfId="0" applyFont="1" applyAlignment="1">
      <alignment vertical="center" wrapText="1"/>
    </xf>
    <xf numFmtId="0" fontId="28" fillId="0" borderId="2" xfId="0" applyFont="1" applyBorder="1"/>
    <xf numFmtId="0" fontId="29" fillId="0" borderId="2" xfId="0" applyFont="1" applyBorder="1" applyAlignment="1">
      <alignment wrapText="1"/>
    </xf>
    <xf numFmtId="0" fontId="29" fillId="0" borderId="0" xfId="0" applyFont="1"/>
    <xf numFmtId="15" fontId="29" fillId="0" borderId="0" xfId="0" applyNumberFormat="1" applyFont="1" applyAlignment="1">
      <alignment wrapText="1"/>
    </xf>
    <xf numFmtId="0" fontId="29" fillId="0" borderId="0" xfId="0" applyFont="1" applyBorder="1"/>
    <xf numFmtId="0" fontId="29" fillId="0" borderId="2" xfId="0" applyFont="1" applyBorder="1"/>
    <xf numFmtId="0" fontId="28" fillId="0" borderId="0" xfId="0" applyFont="1" applyBorder="1"/>
    <xf numFmtId="0" fontId="29" fillId="0" borderId="0" xfId="0" applyFont="1" applyBorder="1" applyAlignment="1">
      <alignment wrapText="1"/>
    </xf>
    <xf numFmtId="0" fontId="2" fillId="0" borderId="0" xfId="0" applyFont="1" applyBorder="1"/>
    <xf numFmtId="0" fontId="30" fillId="0" borderId="0" xfId="0" applyFont="1" applyBorder="1" applyAlignment="1">
      <alignment horizontal="left" wrapText="1"/>
    </xf>
    <xf numFmtId="0" fontId="1" fillId="0" borderId="0" xfId="0" applyFont="1" applyBorder="1" applyAlignment="1">
      <alignment wrapText="1"/>
    </xf>
    <xf numFmtId="0" fontId="29" fillId="0" borderId="0" xfId="0" applyFont="1" applyAlignment="1">
      <alignment wrapText="1"/>
    </xf>
    <xf numFmtId="0" fontId="1" fillId="0" borderId="0" xfId="0" applyFont="1" applyBorder="1" applyAlignment="1"/>
    <xf numFmtId="15" fontId="1" fillId="0" borderId="0" xfId="0" applyNumberFormat="1" applyFont="1" applyBorder="1" applyAlignment="1">
      <alignment wrapText="1"/>
    </xf>
    <xf numFmtId="15" fontId="1" fillId="0" borderId="0" xfId="0" applyNumberFormat="1" applyFont="1" applyAlignment="1">
      <alignment wrapText="1"/>
    </xf>
    <xf numFmtId="15" fontId="2" fillId="0" borderId="0" xfId="0" applyNumberFormat="1" applyFont="1" applyBorder="1" applyAlignment="1">
      <alignment wrapText="1"/>
    </xf>
    <xf numFmtId="0" fontId="1" fillId="0" borderId="0" xfId="0" applyFont="1" applyBorder="1" applyAlignment="1">
      <alignment wrapText="1"/>
    </xf>
    <xf numFmtId="0" fontId="1" fillId="0" borderId="2" xfId="0" applyFont="1" applyBorder="1" applyAlignment="1">
      <alignment wrapText="1"/>
    </xf>
    <xf numFmtId="0" fontId="9" fillId="0" borderId="0" xfId="1" applyFont="1" applyBorder="1" applyAlignment="1">
      <alignment wrapText="1"/>
    </xf>
    <xf numFmtId="0" fontId="0" fillId="0" borderId="0" xfId="0" applyAlignment="1">
      <alignment wrapText="1"/>
    </xf>
    <xf numFmtId="0" fontId="20" fillId="0" borderId="0" xfId="0" applyFont="1" applyAlignment="1">
      <alignment wrapText="1"/>
    </xf>
    <xf numFmtId="0" fontId="30" fillId="0" borderId="0" xfId="0" applyFont="1" applyAlignment="1">
      <alignment wrapText="1"/>
    </xf>
    <xf numFmtId="15" fontId="2" fillId="0" borderId="0" xfId="0" applyNumberFormat="1" applyFont="1" applyAlignment="1">
      <alignment wrapText="1"/>
    </xf>
    <xf numFmtId="0" fontId="30" fillId="0" borderId="0" xfId="0" applyFont="1"/>
    <xf numFmtId="0" fontId="30" fillId="0" borderId="7" xfId="0" applyFont="1" applyBorder="1" applyAlignment="1">
      <alignment vertical="top" wrapText="1"/>
    </xf>
    <xf numFmtId="0" fontId="30" fillId="0" borderId="7" xfId="0" applyFont="1" applyBorder="1" applyAlignment="1">
      <alignment vertical="center" wrapText="1"/>
    </xf>
    <xf numFmtId="0" fontId="1" fillId="0" borderId="2" xfId="0" applyFont="1" applyBorder="1" applyAlignment="1">
      <alignment wrapText="1"/>
    </xf>
    <xf numFmtId="0" fontId="1" fillId="0" borderId="0" xfId="0" applyFont="1" applyBorder="1" applyAlignment="1">
      <alignment wrapText="1"/>
    </xf>
    <xf numFmtId="15" fontId="0" fillId="0" borderId="0" xfId="0" applyNumberFormat="1" applyFont="1" applyAlignment="1">
      <alignment wrapText="1"/>
    </xf>
    <xf numFmtId="0" fontId="31" fillId="0" borderId="0" xfId="0" applyFont="1"/>
    <xf numFmtId="15" fontId="31" fillId="0" borderId="0" xfId="0" applyNumberFormat="1" applyFont="1" applyAlignment="1">
      <alignment wrapText="1"/>
    </xf>
    <xf numFmtId="0" fontId="31" fillId="0" borderId="0" xfId="0" applyFont="1" applyBorder="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vertical="top" wrapText="1"/>
    </xf>
    <xf numFmtId="0" fontId="29" fillId="0" borderId="7" xfId="0" applyFont="1" applyBorder="1" applyAlignment="1">
      <alignment vertical="top" wrapText="1"/>
    </xf>
    <xf numFmtId="0" fontId="29" fillId="0" borderId="7" xfId="0" applyFont="1" applyBorder="1" applyAlignment="1">
      <alignment vertical="center" wrapText="1"/>
    </xf>
    <xf numFmtId="164" fontId="29" fillId="0" borderId="2" xfId="0" applyNumberFormat="1" applyFont="1" applyBorder="1"/>
    <xf numFmtId="164" fontId="29" fillId="0" borderId="0" xfId="0" applyNumberFormat="1" applyFont="1" applyBorder="1"/>
    <xf numFmtId="0" fontId="0" fillId="0" borderId="0" xfId="0" applyBorder="1" applyAlignment="1">
      <alignment vertical="top" wrapText="1"/>
    </xf>
    <xf numFmtId="0" fontId="0" fillId="0" borderId="0" xfId="0" applyBorder="1" applyAlignment="1">
      <alignment vertical="center" wrapText="1"/>
    </xf>
    <xf numFmtId="0" fontId="20" fillId="0" borderId="0" xfId="0" applyFont="1" applyBorder="1" applyAlignment="1">
      <alignment vertical="top" wrapText="1"/>
    </xf>
    <xf numFmtId="0" fontId="5" fillId="0" borderId="0" xfId="0" applyFont="1"/>
    <xf numFmtId="0" fontId="33" fillId="0" borderId="0" xfId="0" applyFont="1"/>
    <xf numFmtId="0" fontId="30" fillId="0" borderId="7" xfId="0" quotePrefix="1" applyFont="1" applyBorder="1" applyAlignment="1">
      <alignment vertical="top" wrapText="1"/>
    </xf>
    <xf numFmtId="0" fontId="11" fillId="0" borderId="0" xfId="0" applyFont="1" applyBorder="1" applyAlignment="1"/>
    <xf numFmtId="0" fontId="1" fillId="0" borderId="0" xfId="0" applyFont="1" applyBorder="1" applyAlignment="1"/>
    <xf numFmtId="15" fontId="1" fillId="0" borderId="0" xfId="0" applyNumberFormat="1" applyFont="1" applyBorder="1" applyAlignment="1">
      <alignment wrapText="1"/>
    </xf>
    <xf numFmtId="15" fontId="1" fillId="0" borderId="0" xfId="0" applyNumberFormat="1" applyFont="1" applyBorder="1" applyAlignment="1">
      <alignment horizontal="left" wrapText="1"/>
    </xf>
    <xf numFmtId="15" fontId="1" fillId="0" borderId="0" xfId="0" applyNumberFormat="1" applyFont="1" applyAlignment="1">
      <alignment wrapText="1"/>
    </xf>
    <xf numFmtId="15" fontId="29" fillId="0" borderId="0" xfId="0" applyNumberFormat="1" applyFont="1" applyBorder="1" applyAlignment="1">
      <alignment wrapText="1"/>
    </xf>
    <xf numFmtId="15" fontId="0" fillId="0" borderId="0" xfId="0" applyNumberFormat="1" applyFont="1" applyBorder="1" applyAlignment="1">
      <alignment wrapText="1"/>
    </xf>
    <xf numFmtId="15" fontId="31" fillId="0" borderId="0" xfId="0" applyNumberFormat="1" applyFont="1" applyBorder="1" applyAlignment="1">
      <alignment horizontal="left" wrapText="1"/>
    </xf>
    <xf numFmtId="15" fontId="2" fillId="0" borderId="0" xfId="0" applyNumberFormat="1" applyFont="1" applyBorder="1" applyAlignment="1">
      <alignment wrapText="1"/>
    </xf>
    <xf numFmtId="0" fontId="1" fillId="0" borderId="0" xfId="0" applyFont="1" applyBorder="1" applyAlignment="1">
      <alignment wrapText="1"/>
    </xf>
    <xf numFmtId="0" fontId="1" fillId="0" borderId="2" xfId="0" applyFont="1" applyBorder="1" applyAlignment="1">
      <alignment wrapText="1"/>
    </xf>
    <xf numFmtId="0" fontId="9" fillId="0" borderId="0" xfId="1" applyFont="1" applyBorder="1" applyAlignment="1">
      <alignment wrapText="1"/>
    </xf>
    <xf numFmtId="0" fontId="7" fillId="0" borderId="0" xfId="0" applyFont="1" applyBorder="1" applyAlignment="1"/>
    <xf numFmtId="15" fontId="1" fillId="0" borderId="1" xfId="0" applyNumberFormat="1" applyFont="1" applyBorder="1" applyAlignment="1">
      <alignment horizontal="left" wrapText="1"/>
    </xf>
    <xf numFmtId="15" fontId="1" fillId="0" borderId="4" xfId="0" applyNumberFormat="1" applyFont="1" applyBorder="1" applyAlignment="1">
      <alignment horizontal="left" wrapText="1"/>
    </xf>
    <xf numFmtId="0" fontId="1" fillId="0" borderId="1" xfId="0" applyFont="1" applyBorder="1" applyAlignment="1"/>
    <xf numFmtId="0" fontId="1" fillId="0" borderId="2" xfId="0" applyFont="1" applyBorder="1" applyAlignment="1"/>
    <xf numFmtId="0" fontId="4" fillId="0" borderId="0" xfId="0" applyFont="1" applyBorder="1" applyAlignment="1">
      <alignment wrapText="1"/>
    </xf>
    <xf numFmtId="0" fontId="1" fillId="0" borderId="0" xfId="0" applyFont="1" applyBorder="1" applyAlignment="1">
      <alignment horizontal="center" vertical="center" wrapText="1"/>
    </xf>
    <xf numFmtId="0" fontId="1" fillId="0" borderId="0" xfId="0" applyFont="1" applyBorder="1" applyAlignment="1">
      <alignment horizontal="left" vertical="center" wrapText="1"/>
    </xf>
    <xf numFmtId="0" fontId="0" fillId="0" borderId="0" xfId="0" applyAlignment="1"/>
    <xf numFmtId="0" fontId="0" fillId="0" borderId="0" xfId="0" applyAlignment="1">
      <alignment wrapText="1"/>
    </xf>
    <xf numFmtId="0" fontId="29" fillId="0" borderId="0" xfId="0" applyFont="1" applyBorder="1" applyAlignment="1"/>
    <xf numFmtId="0" fontId="2" fillId="0" borderId="0" xfId="0" applyFont="1" applyBorder="1" applyAlignment="1"/>
    <xf numFmtId="0" fontId="16" fillId="0" borderId="5" xfId="0" applyFont="1" applyBorder="1" applyAlignment="1">
      <alignment vertical="center" wrapText="1"/>
    </xf>
    <xf numFmtId="0" fontId="21" fillId="6" borderId="0" xfId="0" applyFont="1" applyFill="1" applyAlignment="1">
      <alignment horizontal="center"/>
    </xf>
    <xf numFmtId="0" fontId="20" fillId="0" borderId="0" xfId="0" applyFont="1" applyAlignment="1">
      <alignment wrapText="1"/>
    </xf>
  </cellXfs>
  <cellStyles count="2">
    <cellStyle name="Explanatory Text" xfId="1" builtinId="53" customBuiltin="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1C7D0"/>
      <rgbColor rgb="FF808080"/>
      <rgbColor rgb="FF9999FF"/>
      <rgbColor rgb="FF993366"/>
      <rgbColor rgb="FFF4F5F7"/>
      <rgbColor rgb="FFDBEEF4"/>
      <rgbColor rgb="FF660066"/>
      <rgbColor rgb="FFFF8080"/>
      <rgbColor rgb="FF0066CC"/>
      <rgbColor rgb="FFD4D4D4"/>
      <rgbColor rgb="FF000080"/>
      <rgbColor rgb="FFFF00FF"/>
      <rgbColor rgb="FFFFFF00"/>
      <rgbColor rgb="FF00FFFF"/>
      <rgbColor rgb="FF800080"/>
      <rgbColor rgb="FF800000"/>
      <rgbColor rgb="FF008080"/>
      <rgbColor rgb="FF0000FF"/>
      <rgbColor rgb="FF00B0F0"/>
      <rgbColor rgb="FFDCE6F2"/>
      <rgbColor rgb="FFCCFFCC"/>
      <rgbColor rgb="FFFFFF99"/>
      <rgbColor rgb="FF99CCFF"/>
      <rgbColor rgb="FFFF99CC"/>
      <rgbColor rgb="FFCC99FF"/>
      <rgbColor rgb="FFFFCC99"/>
      <rgbColor rgb="FF3366FF"/>
      <rgbColor rgb="FF33CCCC"/>
      <rgbColor rgb="FF99CC00"/>
      <rgbColor rgb="FFFFCC00"/>
      <rgbColor rgb="FFFF9900"/>
      <rgbColor rgb="FFEF413D"/>
      <rgbColor rgb="FF4F81BD"/>
      <rgbColor rgb="FF969696"/>
      <rgbColor rgb="FF172B4D"/>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586740</xdr:colOff>
      <xdr:row>24</xdr:row>
      <xdr:rowOff>358140</xdr:rowOff>
    </xdr:to>
    <xdr:sp macro="" textlink="">
      <xdr:nvSpPr>
        <xdr:cNvPr id="1026" name="shapetype_202" hidden="1">
          <a:extLst>
            <a:ext uri="{FF2B5EF4-FFF2-40B4-BE49-F238E27FC236}">
              <a16:creationId xmlns:a16="http://schemas.microsoft.com/office/drawing/2014/main" id="{BDD310C2-76BE-4C25-867E-AD9239CF2F2B}"/>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1959120</xdr:colOff>
      <xdr:row>9</xdr:row>
      <xdr:rowOff>19080</xdr:rowOff>
    </xdr:from>
    <xdr:to>
      <xdr:col>6</xdr:col>
      <xdr:colOff>496440</xdr:colOff>
      <xdr:row>11</xdr:row>
      <xdr:rowOff>2160</xdr:rowOff>
    </xdr:to>
    <xdr:sp macro="" textlink="">
      <xdr:nvSpPr>
        <xdr:cNvPr id="2" name="CustomShape 1">
          <a:extLst>
            <a:ext uri="{FF2B5EF4-FFF2-40B4-BE49-F238E27FC236}">
              <a16:creationId xmlns:a16="http://schemas.microsoft.com/office/drawing/2014/main" id="{00000000-0008-0000-0200-000002000000}"/>
            </a:ext>
          </a:extLst>
        </xdr:cNvPr>
        <xdr:cNvSpPr/>
      </xdr:nvSpPr>
      <xdr:spPr>
        <a:xfrm>
          <a:off x="10197360" y="2007720"/>
          <a:ext cx="2044440" cy="34884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ctr"/>
        <a:lstStyle/>
        <a:p>
          <a:pPr algn="ctr">
            <a:lnSpc>
              <a:spcPct val="100000"/>
            </a:lnSpc>
          </a:pPr>
          <a:r>
            <a:rPr lang="en-US" sz="1200" b="0" strike="noStrike" spc="-1">
              <a:solidFill>
                <a:srgbClr val="FFFFFF"/>
              </a:solidFill>
              <a:latin typeface="Calibri"/>
            </a:rPr>
            <a:t>DSMAC</a:t>
          </a:r>
          <a:endParaRPr lang="en-US" sz="1200" b="0" strike="noStrike" spc="-1">
            <a:latin typeface="Times New Roman"/>
          </a:endParaRPr>
        </a:p>
      </xdr:txBody>
    </xdr:sp>
    <xdr:clientData/>
  </xdr:twoCellAnchor>
  <xdr:twoCellAnchor editAs="oneCell">
    <xdr:from>
      <xdr:col>3</xdr:col>
      <xdr:colOff>722160</xdr:colOff>
      <xdr:row>8</xdr:row>
      <xdr:rowOff>173880</xdr:rowOff>
    </xdr:from>
    <xdr:to>
      <xdr:col>4</xdr:col>
      <xdr:colOff>75240</xdr:colOff>
      <xdr:row>9</xdr:row>
      <xdr:rowOff>1440</xdr:rowOff>
    </xdr:to>
    <xdr:sp macro="" textlink="">
      <xdr:nvSpPr>
        <xdr:cNvPr id="3" name="CustomShape 1">
          <a:extLst>
            <a:ext uri="{FF2B5EF4-FFF2-40B4-BE49-F238E27FC236}">
              <a16:creationId xmlns:a16="http://schemas.microsoft.com/office/drawing/2014/main" id="{00000000-0008-0000-0200-000003000000}"/>
            </a:ext>
          </a:extLst>
        </xdr:cNvPr>
        <xdr:cNvSpPr/>
      </xdr:nvSpPr>
      <xdr:spPr>
        <a:xfrm>
          <a:off x="6698520" y="1979640"/>
          <a:ext cx="499320" cy="10440"/>
        </a:xfrm>
        <a:custGeom>
          <a:avLst/>
          <a:gdLst/>
          <a:ahLst/>
          <a:cxnLst/>
          <a:rect l="l" t="t" r="r" b="b"/>
          <a:pathLst>
            <a:path w="21600" h="21600">
              <a:moveTo>
                <a:pt x="0" y="0"/>
              </a:moveTo>
              <a:lnTo>
                <a:pt x="21600" y="21600"/>
              </a:lnTo>
            </a:path>
          </a:pathLst>
        </a:custGeom>
        <a:noFill/>
        <a:ln w="28440">
          <a:solidFill>
            <a:srgbClr val="00B05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223920</xdr:colOff>
      <xdr:row>8</xdr:row>
      <xdr:rowOff>173880</xdr:rowOff>
    </xdr:from>
    <xdr:to>
      <xdr:col>5</xdr:col>
      <xdr:colOff>742320</xdr:colOff>
      <xdr:row>9</xdr:row>
      <xdr:rowOff>2625</xdr:rowOff>
    </xdr:to>
    <xdr:sp macro="" textlink="">
      <xdr:nvSpPr>
        <xdr:cNvPr id="4" name="CustomShape 1">
          <a:extLst>
            <a:ext uri="{FF2B5EF4-FFF2-40B4-BE49-F238E27FC236}">
              <a16:creationId xmlns:a16="http://schemas.microsoft.com/office/drawing/2014/main" id="{00000000-0008-0000-0200-000004000000}"/>
            </a:ext>
          </a:extLst>
        </xdr:cNvPr>
        <xdr:cNvSpPr/>
      </xdr:nvSpPr>
      <xdr:spPr>
        <a:xfrm flipV="1">
          <a:off x="8462160" y="1979640"/>
          <a:ext cx="518400" cy="9720"/>
        </a:xfrm>
        <a:custGeom>
          <a:avLst/>
          <a:gdLst/>
          <a:ahLst/>
          <a:cxnLst/>
          <a:rect l="l" t="t" r="r" b="b"/>
          <a:pathLst>
            <a:path w="21600" h="21600">
              <a:moveTo>
                <a:pt x="0" y="0"/>
              </a:moveTo>
              <a:lnTo>
                <a:pt x="21600" y="21600"/>
              </a:lnTo>
            </a:path>
          </a:pathLst>
        </a:custGeom>
        <a:noFill/>
        <a:ln w="28440">
          <a:solidFill>
            <a:srgbClr val="00B05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1</xdr:col>
      <xdr:colOff>606600</xdr:colOff>
      <xdr:row>16</xdr:row>
      <xdr:rowOff>147600</xdr:rowOff>
    </xdr:from>
    <xdr:to>
      <xdr:col>5</xdr:col>
      <xdr:colOff>1691640</xdr:colOff>
      <xdr:row>18</xdr:row>
      <xdr:rowOff>59400</xdr:rowOff>
    </xdr:to>
    <xdr:sp macro="" textlink="">
      <xdr:nvSpPr>
        <xdr:cNvPr id="5" name="CustomShape 1">
          <a:extLst>
            <a:ext uri="{FF2B5EF4-FFF2-40B4-BE49-F238E27FC236}">
              <a16:creationId xmlns:a16="http://schemas.microsoft.com/office/drawing/2014/main" id="{00000000-0008-0000-0200-000005000000}"/>
            </a:ext>
          </a:extLst>
        </xdr:cNvPr>
        <xdr:cNvSpPr/>
      </xdr:nvSpPr>
      <xdr:spPr>
        <a:xfrm>
          <a:off x="1861200" y="3416400"/>
          <a:ext cx="8068680" cy="277560"/>
        </a:xfrm>
        <a:prstGeom prst="rect">
          <a:avLst/>
        </a:prstGeom>
        <a:noFill/>
        <a:ln>
          <a:solidFill>
            <a:srgbClr val="FFFFFF"/>
          </a:solidFill>
        </a:ln>
      </xdr:spPr>
      <xdr:style>
        <a:lnRef idx="2">
          <a:schemeClr val="accent1">
            <a:shade val="50000"/>
          </a:schemeClr>
        </a:lnRef>
        <a:fillRef idx="1">
          <a:schemeClr val="accent1"/>
        </a:fillRef>
        <a:effectRef idx="0">
          <a:schemeClr val="accent1"/>
        </a:effectRef>
        <a:fontRef idx="minor"/>
      </xdr:style>
      <xdr:txBody>
        <a:bodyPr lIns="90000" tIns="45000" rIns="90000" bIns="45000" anchor="ctr"/>
        <a:lstStyle/>
        <a:p>
          <a:pPr algn="ctr">
            <a:lnSpc>
              <a:spcPct val="100000"/>
            </a:lnSpc>
          </a:pPr>
          <a:r>
            <a:rPr lang="en-US" sz="1200" b="0" strike="noStrike" spc="-1">
              <a:solidFill>
                <a:srgbClr val="000000"/>
              </a:solidFill>
              <a:latin typeface="Calibri"/>
            </a:rPr>
            <a:t>DPDK  Ethernet LAG</a:t>
          </a:r>
          <a:endParaRPr lang="en-US" sz="1200" b="0" strike="noStrike" spc="-1">
            <a:latin typeface="Times New Roman"/>
          </a:endParaRPr>
        </a:p>
      </xdr:txBody>
    </xdr:sp>
    <xdr:clientData/>
  </xdr:twoCellAnchor>
  <xdr:twoCellAnchor editAs="oneCell">
    <xdr:from>
      <xdr:col>1</xdr:col>
      <xdr:colOff>1695600</xdr:colOff>
      <xdr:row>11</xdr:row>
      <xdr:rowOff>163440</xdr:rowOff>
    </xdr:from>
    <xdr:to>
      <xdr:col>2</xdr:col>
      <xdr:colOff>227880</xdr:colOff>
      <xdr:row>14</xdr:row>
      <xdr:rowOff>43560</xdr:rowOff>
    </xdr:to>
    <xdr:sp macro="" textlink="">
      <xdr:nvSpPr>
        <xdr:cNvPr id="6" name="CustomShape 1">
          <a:extLst>
            <a:ext uri="{FF2B5EF4-FFF2-40B4-BE49-F238E27FC236}">
              <a16:creationId xmlns:a16="http://schemas.microsoft.com/office/drawing/2014/main" id="{00000000-0008-0000-0200-000006000000}"/>
            </a:ext>
          </a:extLst>
        </xdr:cNvPr>
        <xdr:cNvSpPr/>
      </xdr:nvSpPr>
      <xdr:spPr>
        <a:xfrm>
          <a:off x="2950200" y="2517840"/>
          <a:ext cx="2217240" cy="42876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tIns="45000" rIns="90000" bIns="45000"/>
        <a:lstStyle/>
        <a:p>
          <a:pPr>
            <a:lnSpc>
              <a:spcPct val="100000"/>
            </a:lnSpc>
          </a:pPr>
          <a:r>
            <a:rPr lang="en-US" sz="1200" b="0" strike="noStrike" spc="-1">
              <a:solidFill>
                <a:srgbClr val="FFFFFF"/>
              </a:solidFill>
              <a:latin typeface="Calibri"/>
            </a:rPr>
            <a:t>USMAC</a:t>
          </a:r>
          <a:endParaRPr lang="en-US" sz="1200" b="0" strike="noStrike" spc="-1">
            <a:latin typeface="Times New Roman"/>
          </a:endParaRPr>
        </a:p>
      </xdr:txBody>
    </xdr:sp>
    <xdr:clientData/>
  </xdr:twoCellAnchor>
  <xdr:twoCellAnchor editAs="oneCell">
    <xdr:from>
      <xdr:col>1</xdr:col>
      <xdr:colOff>977760</xdr:colOff>
      <xdr:row>9</xdr:row>
      <xdr:rowOff>146160</xdr:rowOff>
    </xdr:from>
    <xdr:to>
      <xdr:col>1</xdr:col>
      <xdr:colOff>1694520</xdr:colOff>
      <xdr:row>13</xdr:row>
      <xdr:rowOff>8280</xdr:rowOff>
    </xdr:to>
    <xdr:sp macro="" textlink="">
      <xdr:nvSpPr>
        <xdr:cNvPr id="7" name="CustomShape 1">
          <a:extLst>
            <a:ext uri="{FF2B5EF4-FFF2-40B4-BE49-F238E27FC236}">
              <a16:creationId xmlns:a16="http://schemas.microsoft.com/office/drawing/2014/main" id="{00000000-0008-0000-0200-000007000000}"/>
            </a:ext>
          </a:extLst>
        </xdr:cNvPr>
        <xdr:cNvSpPr/>
      </xdr:nvSpPr>
      <xdr:spPr>
        <a:xfrm>
          <a:off x="2232360" y="2134800"/>
          <a:ext cx="716760" cy="593640"/>
        </a:xfrm>
        <a:custGeom>
          <a:avLst/>
          <a:gdLst/>
          <a:ahLst/>
          <a:cxnLst/>
          <a:rect l="l" t="t" r="r" b="b"/>
          <a:pathLst>
            <a:path w="21600" h="21600">
              <a:moveTo>
                <a:pt x="0" y="0"/>
              </a:moveTo>
              <a:lnTo>
                <a:pt x="21600" y="21600"/>
              </a:lnTo>
            </a:path>
          </a:pathLst>
        </a:custGeom>
        <a:noFill/>
        <a:ln w="28440" cap="rnd">
          <a:solidFill>
            <a:srgbClr val="FF0000"/>
          </a:solidFill>
          <a:custDash>
            <a:ds d="400000" sp="300000"/>
          </a:custDash>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4</xdr:col>
      <xdr:colOff>74520</xdr:colOff>
      <xdr:row>12</xdr:row>
      <xdr:rowOff>30240</xdr:rowOff>
    </xdr:from>
    <xdr:to>
      <xdr:col>5</xdr:col>
      <xdr:colOff>1073880</xdr:colOff>
      <xdr:row>13</xdr:row>
      <xdr:rowOff>177120</xdr:rowOff>
    </xdr:to>
    <xdr:sp macro="" textlink="">
      <xdr:nvSpPr>
        <xdr:cNvPr id="8" name="CustomShape 1">
          <a:extLst>
            <a:ext uri="{FF2B5EF4-FFF2-40B4-BE49-F238E27FC236}">
              <a16:creationId xmlns:a16="http://schemas.microsoft.com/office/drawing/2014/main" id="{00000000-0008-0000-0200-000008000000}"/>
            </a:ext>
          </a:extLst>
        </xdr:cNvPr>
        <xdr:cNvSpPr/>
      </xdr:nvSpPr>
      <xdr:spPr>
        <a:xfrm>
          <a:off x="7197120" y="2567520"/>
          <a:ext cx="2115000" cy="32976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ctr"/>
        <a:lstStyle/>
        <a:p>
          <a:pPr algn="ctr">
            <a:lnSpc>
              <a:spcPct val="100000"/>
            </a:lnSpc>
          </a:pPr>
          <a:r>
            <a:rPr lang="en-US" sz="1200" b="0" strike="noStrike" spc="-1">
              <a:solidFill>
                <a:srgbClr val="FFFFFF"/>
              </a:solidFill>
              <a:latin typeface="Calibri"/>
            </a:rPr>
            <a:t>USPP</a:t>
          </a:r>
          <a:endParaRPr lang="en-US" sz="1200" b="0" strike="noStrike" spc="-1">
            <a:latin typeface="Times New Roman"/>
          </a:endParaRPr>
        </a:p>
      </xdr:txBody>
    </xdr:sp>
    <xdr:clientData/>
  </xdr:twoCellAnchor>
  <xdr:twoCellAnchor editAs="oneCell">
    <xdr:from>
      <xdr:col>2</xdr:col>
      <xdr:colOff>228600</xdr:colOff>
      <xdr:row>13</xdr:row>
      <xdr:rowOff>8640</xdr:rowOff>
    </xdr:from>
    <xdr:to>
      <xdr:col>4</xdr:col>
      <xdr:colOff>73800</xdr:colOff>
      <xdr:row>13</xdr:row>
      <xdr:rowOff>9000</xdr:rowOff>
    </xdr:to>
    <xdr:sp macro="" textlink="">
      <xdr:nvSpPr>
        <xdr:cNvPr id="9" name="CustomShape 1">
          <a:extLst>
            <a:ext uri="{FF2B5EF4-FFF2-40B4-BE49-F238E27FC236}">
              <a16:creationId xmlns:a16="http://schemas.microsoft.com/office/drawing/2014/main" id="{00000000-0008-0000-0200-000009000000}"/>
            </a:ext>
          </a:extLst>
        </xdr:cNvPr>
        <xdr:cNvSpPr/>
      </xdr:nvSpPr>
      <xdr:spPr>
        <a:xfrm>
          <a:off x="5168160" y="2728800"/>
          <a:ext cx="2028240" cy="360"/>
        </a:xfrm>
        <a:custGeom>
          <a:avLst/>
          <a:gdLst/>
          <a:ahLst/>
          <a:cxnLst/>
          <a:rect l="l" t="t" r="r" b="b"/>
          <a:pathLst>
            <a:path w="21600" h="21600">
              <a:moveTo>
                <a:pt x="0" y="0"/>
              </a:moveTo>
              <a:lnTo>
                <a:pt x="21600" y="21600"/>
              </a:lnTo>
            </a:path>
          </a:pathLst>
        </a:custGeom>
        <a:noFill/>
        <a:ln w="28440">
          <a:solidFill>
            <a:srgbClr val="FF000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1691640</xdr:colOff>
      <xdr:row>11</xdr:row>
      <xdr:rowOff>2880</xdr:rowOff>
    </xdr:from>
    <xdr:to>
      <xdr:col>5</xdr:col>
      <xdr:colOff>2545920</xdr:colOff>
      <xdr:row>17</xdr:row>
      <xdr:rowOff>103320</xdr:rowOff>
    </xdr:to>
    <xdr:sp macro="" textlink="">
      <xdr:nvSpPr>
        <xdr:cNvPr id="10" name="CustomShape 1">
          <a:extLst>
            <a:ext uri="{FF2B5EF4-FFF2-40B4-BE49-F238E27FC236}">
              <a16:creationId xmlns:a16="http://schemas.microsoft.com/office/drawing/2014/main" id="{00000000-0008-0000-0200-00000A000000}"/>
            </a:ext>
          </a:extLst>
        </xdr:cNvPr>
        <xdr:cNvSpPr/>
      </xdr:nvSpPr>
      <xdr:spPr>
        <a:xfrm flipH="1">
          <a:off x="9929880" y="2357280"/>
          <a:ext cx="854280" cy="1197720"/>
        </a:xfrm>
        <a:custGeom>
          <a:avLst/>
          <a:gdLst/>
          <a:ahLst/>
          <a:cxnLst/>
          <a:rect l="l" t="t" r="r" b="b"/>
          <a:pathLst>
            <a:path w="21600" h="21600">
              <a:moveTo>
                <a:pt x="0" y="0"/>
              </a:moveTo>
              <a:lnTo>
                <a:pt x="21600" y="21600"/>
              </a:lnTo>
            </a:path>
          </a:pathLst>
        </a:custGeom>
        <a:noFill/>
        <a:ln w="28440" cap="rnd">
          <a:solidFill>
            <a:srgbClr val="00B050"/>
          </a:solidFill>
          <a:custDash>
            <a:ds d="400000" sp="300000"/>
          </a:custDash>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1074600</xdr:colOff>
      <xdr:row>13</xdr:row>
      <xdr:rowOff>25560</xdr:rowOff>
    </xdr:from>
    <xdr:to>
      <xdr:col>5</xdr:col>
      <xdr:colOff>1431000</xdr:colOff>
      <xdr:row>16</xdr:row>
      <xdr:rowOff>164520</xdr:rowOff>
    </xdr:to>
    <xdr:sp macro="" textlink="">
      <xdr:nvSpPr>
        <xdr:cNvPr id="11" name="CustomShape 1">
          <a:extLst>
            <a:ext uri="{FF2B5EF4-FFF2-40B4-BE49-F238E27FC236}">
              <a16:creationId xmlns:a16="http://schemas.microsoft.com/office/drawing/2014/main" id="{00000000-0008-0000-0200-00000B000000}"/>
            </a:ext>
          </a:extLst>
        </xdr:cNvPr>
        <xdr:cNvSpPr/>
      </xdr:nvSpPr>
      <xdr:spPr>
        <a:xfrm>
          <a:off x="9312840" y="2745720"/>
          <a:ext cx="356400" cy="687600"/>
        </a:xfrm>
        <a:custGeom>
          <a:avLst/>
          <a:gdLst/>
          <a:ahLst/>
          <a:cxnLst/>
          <a:rect l="l" t="t" r="r" b="b"/>
          <a:pathLst>
            <a:path w="21600" h="21600">
              <a:moveTo>
                <a:pt x="0" y="0"/>
              </a:moveTo>
              <a:lnTo>
                <a:pt x="21600" y="21600"/>
              </a:lnTo>
            </a:path>
          </a:pathLst>
        </a:custGeom>
        <a:noFill/>
        <a:ln w="28440" cap="rnd">
          <a:solidFill>
            <a:srgbClr val="FF0000"/>
          </a:solidFill>
          <a:custDash>
            <a:ds d="400000" sp="300000"/>
          </a:custDash>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3</xdr:col>
      <xdr:colOff>294480</xdr:colOff>
      <xdr:row>10</xdr:row>
      <xdr:rowOff>66600</xdr:rowOff>
    </xdr:from>
    <xdr:to>
      <xdr:col>3</xdr:col>
      <xdr:colOff>312840</xdr:colOff>
      <xdr:row>16</xdr:row>
      <xdr:rowOff>142200</xdr:rowOff>
    </xdr:to>
    <xdr:sp macro="" textlink="">
      <xdr:nvSpPr>
        <xdr:cNvPr id="12" name="CustomShape 1">
          <a:extLst>
            <a:ext uri="{FF2B5EF4-FFF2-40B4-BE49-F238E27FC236}">
              <a16:creationId xmlns:a16="http://schemas.microsoft.com/office/drawing/2014/main" id="{00000000-0008-0000-0200-00000C000000}"/>
            </a:ext>
          </a:extLst>
        </xdr:cNvPr>
        <xdr:cNvSpPr/>
      </xdr:nvSpPr>
      <xdr:spPr>
        <a:xfrm flipH="1">
          <a:off x="6270840" y="2238120"/>
          <a:ext cx="18360" cy="1172880"/>
        </a:xfrm>
        <a:custGeom>
          <a:avLst/>
          <a:gdLst/>
          <a:ahLst/>
          <a:cxnLst/>
          <a:rect l="l" t="t" r="r" b="b"/>
          <a:pathLst>
            <a:path w="21600" h="21600">
              <a:moveTo>
                <a:pt x="0" y="0"/>
              </a:moveTo>
              <a:lnTo>
                <a:pt x="21600" y="21600"/>
              </a:lnTo>
            </a:path>
          </a:pathLst>
        </a:custGeom>
        <a:noFill/>
        <a:ln w="28440" cap="rnd">
          <a:solidFill>
            <a:srgbClr val="7030A0"/>
          </a:solidFill>
          <a:custDash>
            <a:ds d="400000" sp="300000"/>
          </a:custDash>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1552680</xdr:colOff>
      <xdr:row>8</xdr:row>
      <xdr:rowOff>174600</xdr:rowOff>
    </xdr:from>
    <xdr:to>
      <xdr:col>5</xdr:col>
      <xdr:colOff>1958400</xdr:colOff>
      <xdr:row>10</xdr:row>
      <xdr:rowOff>6480</xdr:rowOff>
    </xdr:to>
    <xdr:sp macro="" textlink="">
      <xdr:nvSpPr>
        <xdr:cNvPr id="13" name="CustomShape 1">
          <a:extLst>
            <a:ext uri="{FF2B5EF4-FFF2-40B4-BE49-F238E27FC236}">
              <a16:creationId xmlns:a16="http://schemas.microsoft.com/office/drawing/2014/main" id="{00000000-0008-0000-0200-00000D000000}"/>
            </a:ext>
          </a:extLst>
        </xdr:cNvPr>
        <xdr:cNvSpPr/>
      </xdr:nvSpPr>
      <xdr:spPr>
        <a:xfrm>
          <a:off x="9790920" y="1980360"/>
          <a:ext cx="405720" cy="197640"/>
        </a:xfrm>
        <a:custGeom>
          <a:avLst/>
          <a:gdLst/>
          <a:ahLst/>
          <a:cxnLst/>
          <a:rect l="l" t="t" r="r" b="b"/>
          <a:pathLst>
            <a:path w="21600" h="21600">
              <a:moveTo>
                <a:pt x="0" y="0"/>
              </a:moveTo>
              <a:lnTo>
                <a:pt x="21600" y="21600"/>
              </a:lnTo>
            </a:path>
          </a:pathLst>
        </a:custGeom>
        <a:noFill/>
        <a:ln w="28440">
          <a:solidFill>
            <a:srgbClr val="00B05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4</xdr:col>
      <xdr:colOff>76320</xdr:colOff>
      <xdr:row>7</xdr:row>
      <xdr:rowOff>169920</xdr:rowOff>
    </xdr:from>
    <xdr:to>
      <xdr:col>5</xdr:col>
      <xdr:colOff>223200</xdr:colOff>
      <xdr:row>10</xdr:row>
      <xdr:rowOff>9000</xdr:rowOff>
    </xdr:to>
    <xdr:sp macro="" textlink="">
      <xdr:nvSpPr>
        <xdr:cNvPr id="14" name="CustomShape 1">
          <a:extLst>
            <a:ext uri="{FF2B5EF4-FFF2-40B4-BE49-F238E27FC236}">
              <a16:creationId xmlns:a16="http://schemas.microsoft.com/office/drawing/2014/main" id="{00000000-0008-0000-0200-00000E000000}"/>
            </a:ext>
          </a:extLst>
        </xdr:cNvPr>
        <xdr:cNvSpPr/>
      </xdr:nvSpPr>
      <xdr:spPr>
        <a:xfrm>
          <a:off x="7198920" y="1792800"/>
          <a:ext cx="1262520" cy="38772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ctr"/>
        <a:lstStyle/>
        <a:p>
          <a:pPr algn="ctr">
            <a:lnSpc>
              <a:spcPct val="100000"/>
            </a:lnSpc>
          </a:pPr>
          <a:r>
            <a:rPr lang="en-US" sz="1200" b="0" strike="noStrike" spc="-1">
              <a:solidFill>
                <a:srgbClr val="FFFFFF"/>
              </a:solidFill>
              <a:latin typeface="Calibri"/>
            </a:rPr>
            <a:t>DSENC</a:t>
          </a:r>
          <a:endParaRPr lang="en-US" sz="1200" b="0" strike="noStrike" spc="-1">
            <a:latin typeface="Times New Roman"/>
          </a:endParaRPr>
        </a:p>
      </xdr:txBody>
    </xdr:sp>
    <xdr:clientData/>
  </xdr:twoCellAnchor>
  <xdr:twoCellAnchor editAs="oneCell">
    <xdr:from>
      <xdr:col>5</xdr:col>
      <xdr:colOff>743040</xdr:colOff>
      <xdr:row>8</xdr:row>
      <xdr:rowOff>4320</xdr:rowOff>
    </xdr:from>
    <xdr:to>
      <xdr:col>5</xdr:col>
      <xdr:colOff>1551960</xdr:colOff>
      <xdr:row>9</xdr:row>
      <xdr:rowOff>160920</xdr:rowOff>
    </xdr:to>
    <xdr:sp macro="" textlink="">
      <xdr:nvSpPr>
        <xdr:cNvPr id="15" name="CustomShape 1">
          <a:extLst>
            <a:ext uri="{FF2B5EF4-FFF2-40B4-BE49-F238E27FC236}">
              <a16:creationId xmlns:a16="http://schemas.microsoft.com/office/drawing/2014/main" id="{00000000-0008-0000-0200-00000F000000}"/>
            </a:ext>
          </a:extLst>
        </xdr:cNvPr>
        <xdr:cNvSpPr/>
      </xdr:nvSpPr>
      <xdr:spPr>
        <a:xfrm>
          <a:off x="8981280" y="1810080"/>
          <a:ext cx="808920" cy="33948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ctr"/>
        <a:lstStyle/>
        <a:p>
          <a:pPr algn="ctr">
            <a:lnSpc>
              <a:spcPct val="100000"/>
            </a:lnSpc>
          </a:pPr>
          <a:r>
            <a:rPr lang="en-US" sz="1200" b="0" strike="noStrike" spc="-1">
              <a:solidFill>
                <a:srgbClr val="FFFFFF"/>
              </a:solidFill>
              <a:latin typeface="Calibri"/>
            </a:rPr>
            <a:t>TM</a:t>
          </a:r>
          <a:endParaRPr lang="en-US" sz="1200" b="0" strike="noStrike" spc="-1">
            <a:latin typeface="Times New Roman"/>
          </a:endParaRPr>
        </a:p>
      </xdr:txBody>
    </xdr:sp>
    <xdr:clientData/>
  </xdr:twoCellAnchor>
  <xdr:twoCellAnchor editAs="oneCell">
    <xdr:from>
      <xdr:col>2</xdr:col>
      <xdr:colOff>636480</xdr:colOff>
      <xdr:row>7</xdr:row>
      <xdr:rowOff>157320</xdr:rowOff>
    </xdr:from>
    <xdr:to>
      <xdr:col>3</xdr:col>
      <xdr:colOff>721440</xdr:colOff>
      <xdr:row>10</xdr:row>
      <xdr:rowOff>7200</xdr:rowOff>
    </xdr:to>
    <xdr:sp macro="" textlink="">
      <xdr:nvSpPr>
        <xdr:cNvPr id="16" name="CustomShape 1">
          <a:extLst>
            <a:ext uri="{FF2B5EF4-FFF2-40B4-BE49-F238E27FC236}">
              <a16:creationId xmlns:a16="http://schemas.microsoft.com/office/drawing/2014/main" id="{00000000-0008-0000-0200-000010000000}"/>
            </a:ext>
          </a:extLst>
        </xdr:cNvPr>
        <xdr:cNvSpPr/>
      </xdr:nvSpPr>
      <xdr:spPr>
        <a:xfrm>
          <a:off x="5576040" y="1780200"/>
          <a:ext cx="1121760" cy="39852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ctr"/>
        <a:lstStyle/>
        <a:p>
          <a:pPr algn="ctr">
            <a:lnSpc>
              <a:spcPct val="100000"/>
            </a:lnSpc>
          </a:pPr>
          <a:r>
            <a:rPr lang="en-US" sz="1200" b="0" strike="noStrike" spc="-1">
              <a:solidFill>
                <a:srgbClr val="FFFFFF"/>
              </a:solidFill>
              <a:latin typeface="Calibri"/>
            </a:rPr>
            <a:t>DSPP</a:t>
          </a:r>
          <a:endParaRPr lang="en-US" sz="1200" b="0" strike="noStrike" spc="-1">
            <a:latin typeface="Times New Roman"/>
          </a:endParaRPr>
        </a:p>
      </xdr:txBody>
    </xdr:sp>
    <xdr:clientData/>
  </xdr:twoCellAnchor>
  <xdr:twoCellAnchor editAs="oneCell">
    <xdr:from>
      <xdr:col>1</xdr:col>
      <xdr:colOff>108000</xdr:colOff>
      <xdr:row>8</xdr:row>
      <xdr:rowOff>158760</xdr:rowOff>
    </xdr:from>
    <xdr:to>
      <xdr:col>1</xdr:col>
      <xdr:colOff>977400</xdr:colOff>
      <xdr:row>10</xdr:row>
      <xdr:rowOff>132480</xdr:rowOff>
    </xdr:to>
    <xdr:sp macro="" textlink="">
      <xdr:nvSpPr>
        <xdr:cNvPr id="17" name="CustomShape 1">
          <a:extLst>
            <a:ext uri="{FF2B5EF4-FFF2-40B4-BE49-F238E27FC236}">
              <a16:creationId xmlns:a16="http://schemas.microsoft.com/office/drawing/2014/main" id="{00000000-0008-0000-0200-000011000000}"/>
            </a:ext>
          </a:extLst>
        </xdr:cNvPr>
        <xdr:cNvSpPr/>
      </xdr:nvSpPr>
      <xdr:spPr>
        <a:xfrm>
          <a:off x="1362600" y="1964520"/>
          <a:ext cx="869400" cy="339480"/>
        </a:xfrm>
        <a:prstGeom prst="roundRect">
          <a:avLst>
            <a:gd name="adj" fmla="val 16667"/>
          </a:avLst>
        </a:prstGeom>
        <a:noFill/>
        <a:ln>
          <a:noFill/>
        </a:ln>
      </xdr:spPr>
      <xdr:style>
        <a:lnRef idx="2">
          <a:schemeClr val="accent1">
            <a:shade val="50000"/>
          </a:schemeClr>
        </a:lnRef>
        <a:fillRef idx="1">
          <a:schemeClr val="accent1"/>
        </a:fillRef>
        <a:effectRef idx="0">
          <a:schemeClr val="accent1"/>
        </a:effectRef>
        <a:fontRef idx="minor"/>
      </xdr:style>
      <xdr:txBody>
        <a:bodyPr lIns="90000" tIns="45000" rIns="90000" bIns="45000" anchor="ctr"/>
        <a:lstStyle/>
        <a:p>
          <a:pPr algn="ctr">
            <a:lnSpc>
              <a:spcPct val="100000"/>
            </a:lnSpc>
          </a:pPr>
          <a:r>
            <a:rPr lang="en-US" sz="1200" b="0" strike="noStrike" spc="-1">
              <a:solidFill>
                <a:srgbClr val="FFFFFF"/>
              </a:solidFill>
              <a:latin typeface="Calibri"/>
            </a:rPr>
            <a:t>DIST</a:t>
          </a:r>
          <a:endParaRPr lang="en-US" sz="1200" b="0" strike="noStrike" spc="-1">
            <a:latin typeface="Times New Roman"/>
          </a:endParaRPr>
        </a:p>
      </xdr:txBody>
    </xdr:sp>
    <xdr:clientData/>
  </xdr:twoCellAnchor>
  <xdr:twoCellAnchor editAs="oneCell">
    <xdr:from>
      <xdr:col>1</xdr:col>
      <xdr:colOff>977760</xdr:colOff>
      <xdr:row>8</xdr:row>
      <xdr:rowOff>173160</xdr:rowOff>
    </xdr:from>
    <xdr:to>
      <xdr:col>2</xdr:col>
      <xdr:colOff>635760</xdr:colOff>
      <xdr:row>9</xdr:row>
      <xdr:rowOff>144720</xdr:rowOff>
    </xdr:to>
    <xdr:sp macro="" textlink="">
      <xdr:nvSpPr>
        <xdr:cNvPr id="18" name="CustomShape 1">
          <a:extLst>
            <a:ext uri="{FF2B5EF4-FFF2-40B4-BE49-F238E27FC236}">
              <a16:creationId xmlns:a16="http://schemas.microsoft.com/office/drawing/2014/main" id="{00000000-0008-0000-0200-000012000000}"/>
            </a:ext>
          </a:extLst>
        </xdr:cNvPr>
        <xdr:cNvSpPr/>
      </xdr:nvSpPr>
      <xdr:spPr>
        <a:xfrm flipV="1">
          <a:off x="2232360" y="1978920"/>
          <a:ext cx="3342960" cy="154440"/>
        </a:xfrm>
        <a:custGeom>
          <a:avLst/>
          <a:gdLst/>
          <a:ahLst/>
          <a:cxnLst/>
          <a:rect l="l" t="t" r="r" b="b"/>
          <a:pathLst>
            <a:path w="21600" h="21600">
              <a:moveTo>
                <a:pt x="0" y="0"/>
              </a:moveTo>
              <a:lnTo>
                <a:pt x="21600" y="21600"/>
              </a:lnTo>
            </a:path>
          </a:pathLst>
        </a:custGeom>
        <a:noFill/>
        <a:ln w="19080">
          <a:solidFill>
            <a:srgbClr val="00B05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1</xdr:col>
      <xdr:colOff>465840</xdr:colOff>
      <xdr:row>10</xdr:row>
      <xdr:rowOff>124560</xdr:rowOff>
    </xdr:from>
    <xdr:to>
      <xdr:col>1</xdr:col>
      <xdr:colOff>669960</xdr:colOff>
      <xdr:row>16</xdr:row>
      <xdr:rowOff>146160</xdr:rowOff>
    </xdr:to>
    <xdr:sp macro="" textlink="">
      <xdr:nvSpPr>
        <xdr:cNvPr id="19" name="CustomShape 1">
          <a:extLst>
            <a:ext uri="{FF2B5EF4-FFF2-40B4-BE49-F238E27FC236}">
              <a16:creationId xmlns:a16="http://schemas.microsoft.com/office/drawing/2014/main" id="{00000000-0008-0000-0200-000013000000}"/>
            </a:ext>
          </a:extLst>
        </xdr:cNvPr>
        <xdr:cNvSpPr/>
      </xdr:nvSpPr>
      <xdr:spPr>
        <a:xfrm flipH="1" flipV="1">
          <a:off x="1720440" y="2296080"/>
          <a:ext cx="204120" cy="1118880"/>
        </a:xfrm>
        <a:custGeom>
          <a:avLst/>
          <a:gdLst/>
          <a:ahLst/>
          <a:cxnLst/>
          <a:rect l="l" t="t" r="r" b="b"/>
          <a:pathLst>
            <a:path w="21600" h="21600">
              <a:moveTo>
                <a:pt x="0" y="0"/>
              </a:moveTo>
              <a:lnTo>
                <a:pt x="21600" y="21600"/>
              </a:lnTo>
            </a:path>
          </a:pathLst>
        </a:custGeom>
        <a:noFill/>
        <a:ln w="28440">
          <a:solidFill>
            <a:srgbClr val="00B05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1</xdr:col>
      <xdr:colOff>671400</xdr:colOff>
      <xdr:row>11</xdr:row>
      <xdr:rowOff>2880</xdr:rowOff>
    </xdr:from>
    <xdr:to>
      <xdr:col>1</xdr:col>
      <xdr:colOff>770760</xdr:colOff>
      <xdr:row>16</xdr:row>
      <xdr:rowOff>146880</xdr:rowOff>
    </xdr:to>
    <xdr:sp macro="" textlink="">
      <xdr:nvSpPr>
        <xdr:cNvPr id="20" name="CustomShape 1">
          <a:extLst>
            <a:ext uri="{FF2B5EF4-FFF2-40B4-BE49-F238E27FC236}">
              <a16:creationId xmlns:a16="http://schemas.microsoft.com/office/drawing/2014/main" id="{00000000-0008-0000-0200-000014000000}"/>
            </a:ext>
          </a:extLst>
        </xdr:cNvPr>
        <xdr:cNvSpPr/>
      </xdr:nvSpPr>
      <xdr:spPr>
        <a:xfrm>
          <a:off x="1926000" y="2357280"/>
          <a:ext cx="99360" cy="1058400"/>
        </a:xfrm>
        <a:custGeom>
          <a:avLst/>
          <a:gdLst/>
          <a:ahLst/>
          <a:cxnLst/>
          <a:rect l="l" t="t" r="r" b="b"/>
          <a:pathLst>
            <a:path w="21600" h="21600">
              <a:moveTo>
                <a:pt x="0" y="0"/>
              </a:moveTo>
              <a:lnTo>
                <a:pt x="21600" y="21600"/>
              </a:lnTo>
            </a:path>
          </a:pathLst>
        </a:custGeom>
        <a:noFill/>
        <a:ln w="12600">
          <a:solidFill>
            <a:srgbClr val="FFFFFF"/>
          </a:solidFill>
          <a:round/>
          <a:headEnd type="triangle" w="med" len="me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1736640</xdr:colOff>
      <xdr:row>11</xdr:row>
      <xdr:rowOff>141120</xdr:rowOff>
    </xdr:from>
    <xdr:to>
      <xdr:col>6</xdr:col>
      <xdr:colOff>415080</xdr:colOff>
      <xdr:row>13</xdr:row>
      <xdr:rowOff>19800</xdr:rowOff>
    </xdr:to>
    <xdr:sp macro="" textlink="">
      <xdr:nvSpPr>
        <xdr:cNvPr id="21" name="CustomShape 1">
          <a:extLst>
            <a:ext uri="{FF2B5EF4-FFF2-40B4-BE49-F238E27FC236}">
              <a16:creationId xmlns:a16="http://schemas.microsoft.com/office/drawing/2014/main" id="{00000000-0008-0000-0200-000015000000}"/>
            </a:ext>
          </a:extLst>
        </xdr:cNvPr>
        <xdr:cNvSpPr/>
      </xdr:nvSpPr>
      <xdr:spPr>
        <a:xfrm>
          <a:off x="9974880" y="2495520"/>
          <a:ext cx="2185560" cy="24444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050" b="0" strike="noStrike" spc="-1">
              <a:solidFill>
                <a:srgbClr val="000000"/>
              </a:solidFill>
              <a:latin typeface="Calibri"/>
            </a:rPr>
            <a:t>DSI vlan</a:t>
          </a:r>
          <a:endParaRPr lang="en-US" sz="1050" b="0" strike="noStrike" spc="-1">
            <a:latin typeface="Times New Roman"/>
          </a:endParaRPr>
        </a:p>
      </xdr:txBody>
    </xdr:sp>
    <xdr:clientData/>
  </xdr:twoCellAnchor>
  <xdr:twoCellAnchor editAs="oneCell">
    <xdr:from>
      <xdr:col>5</xdr:col>
      <xdr:colOff>38160</xdr:colOff>
      <xdr:row>13</xdr:row>
      <xdr:rowOff>173160</xdr:rowOff>
    </xdr:from>
    <xdr:to>
      <xdr:col>5</xdr:col>
      <xdr:colOff>1513800</xdr:colOff>
      <xdr:row>17</xdr:row>
      <xdr:rowOff>151560</xdr:rowOff>
    </xdr:to>
    <xdr:sp macro="" textlink="">
      <xdr:nvSpPr>
        <xdr:cNvPr id="22" name="CustomShape 1">
          <a:extLst>
            <a:ext uri="{FF2B5EF4-FFF2-40B4-BE49-F238E27FC236}">
              <a16:creationId xmlns:a16="http://schemas.microsoft.com/office/drawing/2014/main" id="{00000000-0008-0000-0200-000016000000}"/>
            </a:ext>
          </a:extLst>
        </xdr:cNvPr>
        <xdr:cNvSpPr/>
      </xdr:nvSpPr>
      <xdr:spPr>
        <a:xfrm>
          <a:off x="8276400" y="2893320"/>
          <a:ext cx="1475640" cy="70992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050" b="0" strike="noStrike" spc="-1">
              <a:solidFill>
                <a:srgbClr val="000000"/>
              </a:solidFill>
              <a:latin typeface="Calibri"/>
            </a:rPr>
            <a:t>Nsi Vlan</a:t>
          </a:r>
          <a:endParaRPr lang="en-US" sz="1050" b="0" strike="noStrike" spc="-1">
            <a:latin typeface="Times New Roman"/>
          </a:endParaRPr>
        </a:p>
        <a:p>
          <a:pPr>
            <a:lnSpc>
              <a:spcPct val="100000"/>
            </a:lnSpc>
          </a:pPr>
          <a:r>
            <a:rPr lang="en-US" sz="1050" b="0" strike="noStrike" spc="-1">
              <a:solidFill>
                <a:srgbClr val="000000"/>
              </a:solidFill>
              <a:latin typeface="Calibri"/>
            </a:rPr>
            <a:t>(Vlan header </a:t>
          </a:r>
          <a:endParaRPr lang="en-US" sz="1050" b="0" strike="noStrike" spc="-1">
            <a:latin typeface="Times New Roman"/>
          </a:endParaRPr>
        </a:p>
        <a:p>
          <a:pPr>
            <a:lnSpc>
              <a:spcPct val="100000"/>
            </a:lnSpc>
          </a:pPr>
          <a:r>
            <a:rPr lang="en-US" sz="1050" b="0" strike="noStrike" spc="-1">
              <a:solidFill>
                <a:srgbClr val="000000"/>
              </a:solidFill>
              <a:latin typeface="Calibri"/>
            </a:rPr>
            <a:t>configured per src mac)</a:t>
          </a:r>
          <a:endParaRPr lang="en-US" sz="1050" b="0" strike="noStrike" spc="-1">
            <a:latin typeface="Times New Roman"/>
          </a:endParaRPr>
        </a:p>
      </xdr:txBody>
    </xdr:sp>
    <xdr:clientData/>
  </xdr:twoCellAnchor>
  <xdr:twoCellAnchor editAs="oneCell">
    <xdr:from>
      <xdr:col>3</xdr:col>
      <xdr:colOff>217440</xdr:colOff>
      <xdr:row>14</xdr:row>
      <xdr:rowOff>131760</xdr:rowOff>
    </xdr:from>
    <xdr:to>
      <xdr:col>5</xdr:col>
      <xdr:colOff>97560</xdr:colOff>
      <xdr:row>16</xdr:row>
      <xdr:rowOff>3600</xdr:rowOff>
    </xdr:to>
    <xdr:sp macro="" textlink="">
      <xdr:nvSpPr>
        <xdr:cNvPr id="23" name="CustomShape 1">
          <a:extLst>
            <a:ext uri="{FF2B5EF4-FFF2-40B4-BE49-F238E27FC236}">
              <a16:creationId xmlns:a16="http://schemas.microsoft.com/office/drawing/2014/main" id="{00000000-0008-0000-0200-000017000000}"/>
            </a:ext>
          </a:extLst>
        </xdr:cNvPr>
        <xdr:cNvSpPr/>
      </xdr:nvSpPr>
      <xdr:spPr>
        <a:xfrm>
          <a:off x="6193800" y="3034800"/>
          <a:ext cx="2142000" cy="23760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000" b="0" strike="noStrike" spc="-1">
              <a:solidFill>
                <a:srgbClr val="000000"/>
              </a:solidFill>
              <a:latin typeface="Calibri"/>
            </a:rPr>
            <a:t>UEPI Map PW</a:t>
          </a:r>
          <a:endParaRPr lang="en-US" sz="1000" b="0" strike="noStrike" spc="-1">
            <a:latin typeface="Times New Roman"/>
          </a:endParaRPr>
        </a:p>
      </xdr:txBody>
    </xdr:sp>
    <xdr:clientData/>
  </xdr:twoCellAnchor>
  <xdr:twoCellAnchor editAs="oneCell">
    <xdr:from>
      <xdr:col>1</xdr:col>
      <xdr:colOff>958680</xdr:colOff>
      <xdr:row>12</xdr:row>
      <xdr:rowOff>63360</xdr:rowOff>
    </xdr:from>
    <xdr:to>
      <xdr:col>1</xdr:col>
      <xdr:colOff>1608840</xdr:colOff>
      <xdr:row>14</xdr:row>
      <xdr:rowOff>97200</xdr:rowOff>
    </xdr:to>
    <xdr:sp macro="" textlink="">
      <xdr:nvSpPr>
        <xdr:cNvPr id="24" name="CustomShape 1">
          <a:extLst>
            <a:ext uri="{FF2B5EF4-FFF2-40B4-BE49-F238E27FC236}">
              <a16:creationId xmlns:a16="http://schemas.microsoft.com/office/drawing/2014/main" id="{00000000-0008-0000-0200-000018000000}"/>
            </a:ext>
          </a:extLst>
        </xdr:cNvPr>
        <xdr:cNvSpPr/>
      </xdr:nvSpPr>
      <xdr:spPr>
        <a:xfrm>
          <a:off x="2213280" y="2600640"/>
          <a:ext cx="650160" cy="39960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050" b="0" strike="noStrike" spc="-1">
              <a:solidFill>
                <a:srgbClr val="000000"/>
              </a:solidFill>
              <a:latin typeface="Calibri"/>
            </a:rPr>
            <a:t>DSI vlan </a:t>
          </a:r>
          <a:endParaRPr lang="en-US" sz="1050" b="0" strike="noStrike" spc="-1">
            <a:latin typeface="Times New Roman"/>
          </a:endParaRPr>
        </a:p>
      </xdr:txBody>
    </xdr:sp>
    <xdr:clientData/>
  </xdr:twoCellAnchor>
  <xdr:twoCellAnchor editAs="oneCell">
    <xdr:from>
      <xdr:col>1</xdr:col>
      <xdr:colOff>990720</xdr:colOff>
      <xdr:row>8</xdr:row>
      <xdr:rowOff>74520</xdr:rowOff>
    </xdr:from>
    <xdr:to>
      <xdr:col>2</xdr:col>
      <xdr:colOff>361440</xdr:colOff>
      <xdr:row>9</xdr:row>
      <xdr:rowOff>136800</xdr:rowOff>
    </xdr:to>
    <xdr:sp macro="" textlink="">
      <xdr:nvSpPr>
        <xdr:cNvPr id="25" name="CustomShape 1">
          <a:extLst>
            <a:ext uri="{FF2B5EF4-FFF2-40B4-BE49-F238E27FC236}">
              <a16:creationId xmlns:a16="http://schemas.microsoft.com/office/drawing/2014/main" id="{00000000-0008-0000-0200-000019000000}"/>
            </a:ext>
          </a:extLst>
        </xdr:cNvPr>
        <xdr:cNvSpPr/>
      </xdr:nvSpPr>
      <xdr:spPr>
        <a:xfrm>
          <a:off x="2245320" y="1880280"/>
          <a:ext cx="3055680" cy="24516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050" b="0" strike="noStrike" spc="-1">
              <a:solidFill>
                <a:srgbClr val="000000"/>
              </a:solidFill>
              <a:latin typeface="Calibri"/>
            </a:rPr>
            <a:t>NSI  Vlans (bundles\ sub-bundles)</a:t>
          </a:r>
          <a:endParaRPr lang="en-US" sz="1050" b="0" strike="noStrike" spc="-1">
            <a:latin typeface="Times New Roman"/>
          </a:endParaRPr>
        </a:p>
      </xdr:txBody>
    </xdr:sp>
    <xdr:clientData/>
  </xdr:twoCellAnchor>
  <xdr:twoCellAnchor editAs="oneCell">
    <xdr:from>
      <xdr:col>1</xdr:col>
      <xdr:colOff>88920</xdr:colOff>
      <xdr:row>6</xdr:row>
      <xdr:rowOff>27000</xdr:rowOff>
    </xdr:from>
    <xdr:to>
      <xdr:col>2</xdr:col>
      <xdr:colOff>94680</xdr:colOff>
      <xdr:row>8</xdr:row>
      <xdr:rowOff>17280</xdr:rowOff>
    </xdr:to>
    <xdr:sp macro="" textlink="">
      <xdr:nvSpPr>
        <xdr:cNvPr id="26" name="CustomShape 1">
          <a:extLst>
            <a:ext uri="{FF2B5EF4-FFF2-40B4-BE49-F238E27FC236}">
              <a16:creationId xmlns:a16="http://schemas.microsoft.com/office/drawing/2014/main" id="{00000000-0008-0000-0200-00001A000000}"/>
            </a:ext>
          </a:extLst>
        </xdr:cNvPr>
        <xdr:cNvSpPr/>
      </xdr:nvSpPr>
      <xdr:spPr>
        <a:xfrm>
          <a:off x="1343520" y="1467000"/>
          <a:ext cx="3690720" cy="35604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1800" b="0" strike="noStrike" spc="-1">
              <a:solidFill>
                <a:srgbClr val="000000"/>
              </a:solidFill>
              <a:latin typeface="Calibri"/>
            </a:rPr>
            <a:t>Data Path Block  Diagram </a:t>
          </a:r>
          <a:endParaRPr lang="en-US" sz="1800" b="0" strike="noStrike" spc="-1">
            <a:latin typeface="Times New Roman"/>
          </a:endParaRPr>
        </a:p>
      </xdr:txBody>
    </xdr:sp>
    <xdr:clientData/>
  </xdr:twoCellAnchor>
  <xdr:twoCellAnchor editAs="oneCell">
    <xdr:from>
      <xdr:col>5</xdr:col>
      <xdr:colOff>2241360</xdr:colOff>
      <xdr:row>15</xdr:row>
      <xdr:rowOff>48960</xdr:rowOff>
    </xdr:from>
    <xdr:to>
      <xdr:col>5</xdr:col>
      <xdr:colOff>2469960</xdr:colOff>
      <xdr:row>15</xdr:row>
      <xdr:rowOff>48960</xdr:rowOff>
    </xdr:to>
    <xdr:sp macro="" textlink="">
      <xdr:nvSpPr>
        <xdr:cNvPr id="27" name="Line 1">
          <a:extLst>
            <a:ext uri="{FF2B5EF4-FFF2-40B4-BE49-F238E27FC236}">
              <a16:creationId xmlns:a16="http://schemas.microsoft.com/office/drawing/2014/main" id="{00000000-0008-0000-0200-00001B000000}"/>
            </a:ext>
          </a:extLst>
        </xdr:cNvPr>
        <xdr:cNvSpPr/>
      </xdr:nvSpPr>
      <xdr:spPr>
        <a:xfrm>
          <a:off x="10479600" y="3134880"/>
          <a:ext cx="228600" cy="0"/>
        </a:xfrm>
        <a:prstGeom prst="line">
          <a:avLst/>
        </a:prstGeom>
        <a:ln w="28440">
          <a:solidFill>
            <a:srgbClr val="7030A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2470320</xdr:colOff>
      <xdr:row>14</xdr:row>
      <xdr:rowOff>115920</xdr:rowOff>
    </xdr:from>
    <xdr:to>
      <xdr:col>6</xdr:col>
      <xdr:colOff>451800</xdr:colOff>
      <xdr:row>15</xdr:row>
      <xdr:rowOff>140760</xdr:rowOff>
    </xdr:to>
    <xdr:sp macro="" textlink="">
      <xdr:nvSpPr>
        <xdr:cNvPr id="28" name="CustomShape 1">
          <a:extLst>
            <a:ext uri="{FF2B5EF4-FFF2-40B4-BE49-F238E27FC236}">
              <a16:creationId xmlns:a16="http://schemas.microsoft.com/office/drawing/2014/main" id="{00000000-0008-0000-0200-00001C000000}"/>
            </a:ext>
          </a:extLst>
        </xdr:cNvPr>
        <xdr:cNvSpPr/>
      </xdr:nvSpPr>
      <xdr:spPr>
        <a:xfrm>
          <a:off x="10708560" y="3018960"/>
          <a:ext cx="1488600" cy="20772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800" b="0" strike="noStrike" spc="-1">
              <a:solidFill>
                <a:srgbClr val="000000"/>
              </a:solidFill>
              <a:latin typeface="Calibri"/>
            </a:rPr>
            <a:t>DS MMMs</a:t>
          </a:r>
          <a:endParaRPr lang="en-US" sz="800" b="0" strike="noStrike" spc="-1">
            <a:latin typeface="Times New Roman"/>
          </a:endParaRPr>
        </a:p>
      </xdr:txBody>
    </xdr:sp>
    <xdr:clientData/>
  </xdr:twoCellAnchor>
  <xdr:twoCellAnchor editAs="oneCell">
    <xdr:from>
      <xdr:col>5</xdr:col>
      <xdr:colOff>2241720</xdr:colOff>
      <xdr:row>15</xdr:row>
      <xdr:rowOff>158040</xdr:rowOff>
    </xdr:from>
    <xdr:to>
      <xdr:col>5</xdr:col>
      <xdr:colOff>2469600</xdr:colOff>
      <xdr:row>15</xdr:row>
      <xdr:rowOff>173160</xdr:rowOff>
    </xdr:to>
    <xdr:sp macro="" textlink="">
      <xdr:nvSpPr>
        <xdr:cNvPr id="29" name="CustomShape 1">
          <a:extLst>
            <a:ext uri="{FF2B5EF4-FFF2-40B4-BE49-F238E27FC236}">
              <a16:creationId xmlns:a16="http://schemas.microsoft.com/office/drawing/2014/main" id="{00000000-0008-0000-0200-00001D000000}"/>
            </a:ext>
          </a:extLst>
        </xdr:cNvPr>
        <xdr:cNvSpPr/>
      </xdr:nvSpPr>
      <xdr:spPr>
        <a:xfrm flipV="1">
          <a:off x="10479960" y="3243960"/>
          <a:ext cx="227880" cy="15120"/>
        </a:xfrm>
        <a:custGeom>
          <a:avLst/>
          <a:gdLst/>
          <a:ahLst/>
          <a:cxnLst/>
          <a:rect l="l" t="t" r="r" b="b"/>
          <a:pathLst>
            <a:path w="21600" h="21600">
              <a:moveTo>
                <a:pt x="0" y="0"/>
              </a:moveTo>
              <a:lnTo>
                <a:pt x="21600" y="21600"/>
              </a:lnTo>
            </a:path>
          </a:pathLst>
        </a:custGeom>
        <a:noFill/>
        <a:ln w="28440">
          <a:solidFill>
            <a:srgbClr val="00B05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2449440</xdr:colOff>
      <xdr:row>15</xdr:row>
      <xdr:rowOff>49320</xdr:rowOff>
    </xdr:from>
    <xdr:to>
      <xdr:col>6</xdr:col>
      <xdr:colOff>322920</xdr:colOff>
      <xdr:row>16</xdr:row>
      <xdr:rowOff>74160</xdr:rowOff>
    </xdr:to>
    <xdr:sp macro="" textlink="">
      <xdr:nvSpPr>
        <xdr:cNvPr id="30" name="CustomShape 1">
          <a:extLst>
            <a:ext uri="{FF2B5EF4-FFF2-40B4-BE49-F238E27FC236}">
              <a16:creationId xmlns:a16="http://schemas.microsoft.com/office/drawing/2014/main" id="{00000000-0008-0000-0200-00001E000000}"/>
            </a:ext>
          </a:extLst>
        </xdr:cNvPr>
        <xdr:cNvSpPr/>
      </xdr:nvSpPr>
      <xdr:spPr>
        <a:xfrm>
          <a:off x="10687680" y="3135240"/>
          <a:ext cx="1380600" cy="20772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800" b="0" strike="noStrike" spc="-1">
              <a:solidFill>
                <a:srgbClr val="000000"/>
              </a:solidFill>
              <a:latin typeface="Calibri"/>
            </a:rPr>
            <a:t>DS Data</a:t>
          </a:r>
          <a:endParaRPr lang="en-US" sz="800" b="0" strike="noStrike" spc="-1">
            <a:latin typeface="Times New Roman"/>
          </a:endParaRPr>
        </a:p>
      </xdr:txBody>
    </xdr:sp>
    <xdr:clientData/>
  </xdr:twoCellAnchor>
  <xdr:twoCellAnchor editAs="oneCell">
    <xdr:from>
      <xdr:col>5</xdr:col>
      <xdr:colOff>2255760</xdr:colOff>
      <xdr:row>16</xdr:row>
      <xdr:rowOff>97560</xdr:rowOff>
    </xdr:from>
    <xdr:to>
      <xdr:col>5</xdr:col>
      <xdr:colOff>2469240</xdr:colOff>
      <xdr:row>16</xdr:row>
      <xdr:rowOff>111240</xdr:rowOff>
    </xdr:to>
    <xdr:sp macro="" textlink="">
      <xdr:nvSpPr>
        <xdr:cNvPr id="31" name="CustomShape 1">
          <a:extLst>
            <a:ext uri="{FF2B5EF4-FFF2-40B4-BE49-F238E27FC236}">
              <a16:creationId xmlns:a16="http://schemas.microsoft.com/office/drawing/2014/main" id="{00000000-0008-0000-0200-00001F000000}"/>
            </a:ext>
          </a:extLst>
        </xdr:cNvPr>
        <xdr:cNvSpPr/>
      </xdr:nvSpPr>
      <xdr:spPr>
        <a:xfrm flipV="1">
          <a:off x="10494000" y="3366360"/>
          <a:ext cx="213480" cy="13680"/>
        </a:xfrm>
        <a:custGeom>
          <a:avLst/>
          <a:gdLst/>
          <a:ahLst/>
          <a:cxnLst/>
          <a:rect l="l" t="t" r="r" b="b"/>
          <a:pathLst>
            <a:path w="21600" h="21600">
              <a:moveTo>
                <a:pt x="0" y="0"/>
              </a:moveTo>
              <a:lnTo>
                <a:pt x="21600" y="21600"/>
              </a:lnTo>
            </a:path>
          </a:pathLst>
        </a:custGeom>
        <a:noFill/>
        <a:ln w="28440">
          <a:solidFill>
            <a:srgbClr val="FF0000"/>
          </a:solidFill>
          <a:round/>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2449440</xdr:colOff>
      <xdr:row>15</xdr:row>
      <xdr:rowOff>181080</xdr:rowOff>
    </xdr:from>
    <xdr:to>
      <xdr:col>6</xdr:col>
      <xdr:colOff>326160</xdr:colOff>
      <xdr:row>17</xdr:row>
      <xdr:rowOff>22680</xdr:rowOff>
    </xdr:to>
    <xdr:sp macro="" textlink="">
      <xdr:nvSpPr>
        <xdr:cNvPr id="32" name="CustomShape 1">
          <a:extLst>
            <a:ext uri="{FF2B5EF4-FFF2-40B4-BE49-F238E27FC236}">
              <a16:creationId xmlns:a16="http://schemas.microsoft.com/office/drawing/2014/main" id="{00000000-0008-0000-0200-000020000000}"/>
            </a:ext>
          </a:extLst>
        </xdr:cNvPr>
        <xdr:cNvSpPr/>
      </xdr:nvSpPr>
      <xdr:spPr>
        <a:xfrm>
          <a:off x="10687680" y="3267000"/>
          <a:ext cx="1383840" cy="20736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800" b="0" strike="noStrike" spc="-1">
              <a:solidFill>
                <a:srgbClr val="000000"/>
              </a:solidFill>
              <a:latin typeface="Calibri"/>
            </a:rPr>
            <a:t>US Data</a:t>
          </a:r>
          <a:endParaRPr lang="en-US" sz="800" b="0" strike="noStrike" spc="-1">
            <a:latin typeface="Times New Roman"/>
          </a:endParaRPr>
        </a:p>
      </xdr:txBody>
    </xdr:sp>
    <xdr:clientData/>
  </xdr:twoCellAnchor>
  <xdr:twoCellAnchor editAs="oneCell">
    <xdr:from>
      <xdr:col>5</xdr:col>
      <xdr:colOff>2233440</xdr:colOff>
      <xdr:row>17</xdr:row>
      <xdr:rowOff>26280</xdr:rowOff>
    </xdr:from>
    <xdr:to>
      <xdr:col>5</xdr:col>
      <xdr:colOff>2461320</xdr:colOff>
      <xdr:row>17</xdr:row>
      <xdr:rowOff>38160</xdr:rowOff>
    </xdr:to>
    <xdr:sp macro="" textlink="">
      <xdr:nvSpPr>
        <xdr:cNvPr id="33" name="CustomShape 1">
          <a:extLst>
            <a:ext uri="{FF2B5EF4-FFF2-40B4-BE49-F238E27FC236}">
              <a16:creationId xmlns:a16="http://schemas.microsoft.com/office/drawing/2014/main" id="{00000000-0008-0000-0200-000021000000}"/>
            </a:ext>
          </a:extLst>
        </xdr:cNvPr>
        <xdr:cNvSpPr/>
      </xdr:nvSpPr>
      <xdr:spPr>
        <a:xfrm flipV="1">
          <a:off x="10471680" y="3477960"/>
          <a:ext cx="227880" cy="11880"/>
        </a:xfrm>
        <a:custGeom>
          <a:avLst/>
          <a:gdLst/>
          <a:ahLst/>
          <a:cxnLst/>
          <a:rect l="l" t="t" r="r" b="b"/>
          <a:pathLst>
            <a:path w="21600" h="21600">
              <a:moveTo>
                <a:pt x="0" y="0"/>
              </a:moveTo>
              <a:lnTo>
                <a:pt x="21600" y="21600"/>
              </a:lnTo>
            </a:path>
          </a:pathLst>
        </a:custGeom>
        <a:noFill/>
        <a:ln cap="rnd">
          <a:solidFill>
            <a:srgbClr val="FF0000"/>
          </a:solidFill>
          <a:custDash/>
          <a:tailEnd type="triangle" w="med" len="med"/>
        </a:ln>
      </xdr:spPr>
      <xdr:style>
        <a:lnRef idx="1">
          <a:schemeClr val="accent1"/>
        </a:lnRef>
        <a:fillRef idx="0">
          <a:schemeClr val="accent1"/>
        </a:fillRef>
        <a:effectRef idx="0">
          <a:schemeClr val="accent1"/>
        </a:effectRef>
        <a:fontRef idx="minor"/>
      </xdr:style>
    </xdr:sp>
    <xdr:clientData/>
  </xdr:twoCellAnchor>
  <xdr:twoCellAnchor editAs="oneCell">
    <xdr:from>
      <xdr:col>5</xdr:col>
      <xdr:colOff>2462040</xdr:colOff>
      <xdr:row>16</xdr:row>
      <xdr:rowOff>115920</xdr:rowOff>
    </xdr:from>
    <xdr:to>
      <xdr:col>6</xdr:col>
      <xdr:colOff>235800</xdr:colOff>
      <xdr:row>17</xdr:row>
      <xdr:rowOff>140760</xdr:rowOff>
    </xdr:to>
    <xdr:sp macro="" textlink="">
      <xdr:nvSpPr>
        <xdr:cNvPr id="34" name="CustomShape 1">
          <a:extLst>
            <a:ext uri="{FF2B5EF4-FFF2-40B4-BE49-F238E27FC236}">
              <a16:creationId xmlns:a16="http://schemas.microsoft.com/office/drawing/2014/main" id="{00000000-0008-0000-0200-000022000000}"/>
            </a:ext>
          </a:extLst>
        </xdr:cNvPr>
        <xdr:cNvSpPr/>
      </xdr:nvSpPr>
      <xdr:spPr>
        <a:xfrm>
          <a:off x="10700280" y="3384720"/>
          <a:ext cx="1280880" cy="207720"/>
        </a:xfrm>
        <a:prstGeom prst="rect">
          <a:avLst/>
        </a:prstGeom>
        <a:noFill/>
        <a:ln>
          <a:noFill/>
        </a:ln>
      </xdr:spPr>
      <xdr:style>
        <a:lnRef idx="0">
          <a:scrgbClr r="0" g="0" b="0"/>
        </a:lnRef>
        <a:fillRef idx="0">
          <a:scrgbClr r="0" g="0" b="0"/>
        </a:fillRef>
        <a:effectRef idx="0">
          <a:scrgbClr r="0" g="0" b="0"/>
        </a:effectRef>
        <a:fontRef idx="minor"/>
      </xdr:style>
      <xdr:txBody>
        <a:bodyPr lIns="90000" tIns="45000" rIns="90000" bIns="45000"/>
        <a:lstStyle/>
        <a:p>
          <a:pPr>
            <a:lnSpc>
              <a:spcPct val="100000"/>
            </a:lnSpc>
          </a:pPr>
          <a:r>
            <a:rPr lang="en-US" sz="800" b="0" strike="noStrike" spc="-1">
              <a:solidFill>
                <a:srgbClr val="000000"/>
              </a:solidFill>
              <a:latin typeface="Calibri"/>
            </a:rPr>
            <a:t>Thrift</a:t>
          </a:r>
          <a:endParaRPr lang="en-US" sz="800" b="0" strike="noStrike" spc="-1">
            <a:latin typeface="Times New Roman"/>
          </a:endParaRPr>
        </a:p>
      </xdr:txBody>
    </xdr:sp>
    <xdr:clientData/>
  </xdr:twoCellAnchor>
  <xdr:twoCellAnchor editAs="oneCell">
    <xdr:from>
      <xdr:col>1</xdr:col>
      <xdr:colOff>372240</xdr:colOff>
      <xdr:row>10</xdr:row>
      <xdr:rowOff>124560</xdr:rowOff>
    </xdr:from>
    <xdr:to>
      <xdr:col>1</xdr:col>
      <xdr:colOff>558720</xdr:colOff>
      <xdr:row>16</xdr:row>
      <xdr:rowOff>52560</xdr:rowOff>
    </xdr:to>
    <xdr:sp macro="" textlink="">
      <xdr:nvSpPr>
        <xdr:cNvPr id="35" name="CustomShape 1">
          <a:extLst>
            <a:ext uri="{FF2B5EF4-FFF2-40B4-BE49-F238E27FC236}">
              <a16:creationId xmlns:a16="http://schemas.microsoft.com/office/drawing/2014/main" id="{00000000-0008-0000-0200-000023000000}"/>
            </a:ext>
          </a:extLst>
        </xdr:cNvPr>
        <xdr:cNvSpPr/>
      </xdr:nvSpPr>
      <xdr:spPr>
        <a:xfrm flipH="1" flipV="1">
          <a:off x="1626840" y="2296080"/>
          <a:ext cx="186480" cy="1025280"/>
        </a:xfrm>
        <a:custGeom>
          <a:avLst/>
          <a:gdLst/>
          <a:ahLst/>
          <a:cxnLst/>
          <a:rect l="l" t="t" r="r" b="b"/>
          <a:pathLst>
            <a:path w="21600" h="21600">
              <a:moveTo>
                <a:pt x="0" y="0"/>
              </a:moveTo>
              <a:lnTo>
                <a:pt x="21600" y="21600"/>
              </a:lnTo>
            </a:path>
          </a:pathLst>
        </a:custGeom>
        <a:noFill/>
        <a:ln w="28440">
          <a:solidFill>
            <a:srgbClr val="FF0000"/>
          </a:solidFill>
          <a:round/>
          <a:tailEnd type="triangle" w="med" len="med"/>
        </a:ln>
      </xdr:spPr>
      <xdr:style>
        <a:lnRef idx="1">
          <a:schemeClr val="accent1"/>
        </a:lnRef>
        <a:fillRef idx="0">
          <a:schemeClr val="accent1"/>
        </a:fillRef>
        <a:effectRef idx="0">
          <a:schemeClr val="accent1"/>
        </a:effectRef>
        <a:fontRef idx="minor"/>
      </xdr:style>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J303"/>
  <sheetViews>
    <sheetView tabSelected="1" zoomScale="85" zoomScaleNormal="85" workbookViewId="0">
      <selection activeCell="C4" sqref="C4:G4"/>
    </sheetView>
  </sheetViews>
  <sheetFormatPr baseColWidth="10" defaultColWidth="8.83203125" defaultRowHeight="15" x14ac:dyDescent="0.2"/>
  <cols>
    <col min="1" max="1" width="25.33203125" style="6" customWidth="1"/>
    <col min="2" max="2" width="16" style="3" customWidth="1"/>
    <col min="3" max="3" width="44.5" style="3" customWidth="1"/>
    <col min="4" max="4" width="16.83203125" style="6" customWidth="1"/>
    <col min="5" max="5" width="28.1640625" style="3" customWidth="1"/>
    <col min="6" max="6" width="54.33203125" style="84" customWidth="1"/>
    <col min="7" max="7" width="106.6640625" style="3" customWidth="1"/>
    <col min="8" max="8" width="12" style="18" customWidth="1"/>
    <col min="9" max="1025" width="9.1640625" style="6" customWidth="1"/>
    <col min="1026" max="16384" width="8.83203125" style="6"/>
  </cols>
  <sheetData>
    <row r="1" spans="1:8" ht="26" x14ac:dyDescent="0.3">
      <c r="A1" s="119" t="s">
        <v>0</v>
      </c>
      <c r="B1" s="119"/>
      <c r="C1" s="119"/>
      <c r="D1" s="119"/>
      <c r="E1" s="119"/>
      <c r="F1" s="119"/>
      <c r="G1" s="119"/>
    </row>
    <row r="2" spans="1:8" x14ac:dyDescent="0.2">
      <c r="A2" s="120" t="s">
        <v>1</v>
      </c>
      <c r="B2" s="120"/>
      <c r="C2" s="120"/>
      <c r="D2" s="120"/>
      <c r="E2" s="120"/>
      <c r="F2" s="120"/>
      <c r="G2" s="120"/>
    </row>
    <row r="3" spans="1:8" ht="14.5" customHeight="1" x14ac:dyDescent="0.2">
      <c r="A3" s="6" t="s">
        <v>2</v>
      </c>
      <c r="B3" s="3" t="s">
        <v>3</v>
      </c>
      <c r="C3" s="121" t="s">
        <v>2233</v>
      </c>
      <c r="D3" s="121"/>
      <c r="E3" s="121"/>
      <c r="F3" s="121"/>
      <c r="G3" s="121"/>
    </row>
    <row r="4" spans="1:8" s="14" customFormat="1" ht="30.5" customHeight="1" x14ac:dyDescent="0.2">
      <c r="A4" s="14" t="s">
        <v>2206</v>
      </c>
      <c r="B4" s="96">
        <v>44363</v>
      </c>
      <c r="C4" s="127" t="s">
        <v>2246</v>
      </c>
      <c r="D4" s="127"/>
      <c r="E4" s="127"/>
      <c r="F4" s="127"/>
      <c r="G4" s="127"/>
      <c r="H4" s="82"/>
    </row>
    <row r="5" spans="1:8" s="103" customFormat="1" ht="30.75" customHeight="1" x14ac:dyDescent="0.2">
      <c r="A5" s="103" t="s">
        <v>4</v>
      </c>
      <c r="B5" s="104">
        <v>44301</v>
      </c>
      <c r="C5" s="126" t="s">
        <v>5</v>
      </c>
      <c r="D5" s="126"/>
      <c r="E5" s="126"/>
      <c r="F5" s="126"/>
      <c r="G5" s="126"/>
      <c r="H5" s="105"/>
    </row>
    <row r="6" spans="1:8" s="14" customFormat="1" ht="80" customHeight="1" x14ac:dyDescent="0.2">
      <c r="A6" s="1" t="s">
        <v>6</v>
      </c>
      <c r="B6" s="102">
        <v>44294</v>
      </c>
      <c r="C6" s="125" t="s">
        <v>7</v>
      </c>
      <c r="D6" s="125"/>
      <c r="E6" s="125"/>
      <c r="F6" s="125"/>
      <c r="G6" s="89"/>
      <c r="H6" s="82"/>
    </row>
    <row r="7" spans="1:8" ht="97.25" customHeight="1" x14ac:dyDescent="0.2">
      <c r="A7" s="6" t="s">
        <v>8</v>
      </c>
      <c r="B7" s="88">
        <v>44285</v>
      </c>
      <c r="C7" s="121" t="s">
        <v>9</v>
      </c>
      <c r="D7" s="121"/>
      <c r="E7" s="121"/>
      <c r="F7" s="121"/>
      <c r="G7" s="121"/>
    </row>
    <row r="8" spans="1:8" s="76" customFormat="1" ht="14.5" customHeight="1" x14ac:dyDescent="0.2">
      <c r="A8" s="76" t="s">
        <v>10</v>
      </c>
      <c r="B8" s="77">
        <v>44228</v>
      </c>
      <c r="C8" s="124" t="s">
        <v>11</v>
      </c>
      <c r="D8" s="124"/>
      <c r="E8" s="124"/>
      <c r="F8" s="124"/>
      <c r="G8" s="124"/>
      <c r="H8" s="78"/>
    </row>
    <row r="9" spans="1:8" ht="14.5" customHeight="1" x14ac:dyDescent="0.2">
      <c r="A9" s="6" t="s">
        <v>12</v>
      </c>
      <c r="B9" s="88">
        <v>44207</v>
      </c>
      <c r="C9" s="87" t="s">
        <v>13</v>
      </c>
      <c r="D9" s="87"/>
      <c r="E9" s="87"/>
      <c r="F9" s="87"/>
      <c r="G9" s="87"/>
    </row>
    <row r="10" spans="1:8" ht="46.5" customHeight="1" x14ac:dyDescent="0.2">
      <c r="A10" s="6" t="s">
        <v>14</v>
      </c>
      <c r="B10" s="88">
        <v>44166</v>
      </c>
      <c r="C10" s="122" t="s">
        <v>15</v>
      </c>
      <c r="D10" s="122"/>
      <c r="E10" s="122"/>
      <c r="F10" s="122"/>
      <c r="G10" s="122"/>
    </row>
    <row r="11" spans="1:8" ht="60" customHeight="1" x14ac:dyDescent="0.2">
      <c r="A11" s="6" t="s">
        <v>16</v>
      </c>
      <c r="B11" s="88">
        <v>44165</v>
      </c>
      <c r="C11" s="123" t="s">
        <v>17</v>
      </c>
      <c r="D11" s="123"/>
      <c r="E11" s="123"/>
      <c r="F11" s="123"/>
      <c r="G11" s="123"/>
    </row>
    <row r="12" spans="1:8" ht="102.5" customHeight="1" x14ac:dyDescent="0.2">
      <c r="A12" s="6" t="s">
        <v>18</v>
      </c>
      <c r="B12" s="88">
        <v>44133</v>
      </c>
      <c r="C12" s="121" t="s">
        <v>19</v>
      </c>
      <c r="D12" s="121"/>
      <c r="E12" s="121"/>
      <c r="F12" s="121"/>
      <c r="G12" s="121"/>
    </row>
    <row r="13" spans="1:8" ht="44" customHeight="1" x14ac:dyDescent="0.2">
      <c r="A13" s="6" t="s">
        <v>20</v>
      </c>
      <c r="B13" s="88">
        <v>44071</v>
      </c>
      <c r="C13" s="121" t="s">
        <v>21</v>
      </c>
      <c r="D13" s="121"/>
      <c r="E13" s="121"/>
      <c r="F13" s="121"/>
      <c r="G13" s="121"/>
    </row>
    <row r="14" spans="1:8" ht="56.5" customHeight="1" x14ac:dyDescent="0.2">
      <c r="A14" s="6" t="s">
        <v>22</v>
      </c>
      <c r="B14" s="88">
        <v>44025</v>
      </c>
      <c r="C14" s="121" t="s">
        <v>23</v>
      </c>
      <c r="D14" s="121"/>
      <c r="E14" s="121"/>
      <c r="F14" s="121"/>
      <c r="G14" s="121"/>
    </row>
    <row r="15" spans="1:8" ht="52.25" customHeight="1" x14ac:dyDescent="0.2">
      <c r="A15" s="6" t="s">
        <v>24</v>
      </c>
      <c r="B15" s="88">
        <v>43958</v>
      </c>
      <c r="C15" s="121" t="s">
        <v>25</v>
      </c>
      <c r="D15" s="121"/>
      <c r="E15" s="121"/>
      <c r="F15" s="121"/>
      <c r="G15" s="121"/>
    </row>
    <row r="16" spans="1:8" ht="16" x14ac:dyDescent="0.2">
      <c r="A16" s="6" t="s">
        <v>26</v>
      </c>
      <c r="B16" s="88">
        <v>43924</v>
      </c>
      <c r="C16" s="88" t="s">
        <v>27</v>
      </c>
      <c r="D16" s="88"/>
      <c r="E16" s="88"/>
      <c r="F16" s="88"/>
      <c r="G16" s="88"/>
    </row>
    <row r="17" spans="1:8" ht="27.75" customHeight="1" x14ac:dyDescent="0.2">
      <c r="A17" s="6" t="s">
        <v>28</v>
      </c>
      <c r="B17" s="88">
        <v>43920</v>
      </c>
      <c r="C17" s="121" t="s">
        <v>29</v>
      </c>
      <c r="D17" s="121"/>
      <c r="E17" s="121"/>
      <c r="F17" s="121"/>
      <c r="G17" s="121"/>
    </row>
    <row r="18" spans="1:8" x14ac:dyDescent="0.2">
      <c r="B18" s="88"/>
      <c r="C18" s="88"/>
      <c r="D18" s="3"/>
      <c r="F18" s="90"/>
    </row>
    <row r="19" spans="1:8" x14ac:dyDescent="0.2">
      <c r="A19" s="6" t="s">
        <v>30</v>
      </c>
      <c r="C19" s="88"/>
      <c r="F19" s="90"/>
    </row>
    <row r="20" spans="1:8" s="3" customFormat="1" ht="14.5" customHeight="1" x14ac:dyDescent="0.2">
      <c r="A20" s="128" t="s">
        <v>31</v>
      </c>
      <c r="B20" s="128"/>
      <c r="C20" s="128"/>
      <c r="D20" s="128"/>
      <c r="E20" s="128"/>
      <c r="F20" s="128"/>
      <c r="G20" s="128"/>
      <c r="H20" s="90"/>
    </row>
    <row r="21" spans="1:8" s="3" customFormat="1" ht="14.5" customHeight="1" x14ac:dyDescent="0.2">
      <c r="A21" s="128" t="s">
        <v>32</v>
      </c>
      <c r="B21" s="128"/>
      <c r="C21" s="128"/>
      <c r="D21" s="128"/>
      <c r="E21" s="128"/>
      <c r="F21" s="128"/>
      <c r="G21" s="128"/>
      <c r="H21" s="90"/>
    </row>
    <row r="22" spans="1:8" s="3" customFormat="1" ht="14.5" customHeight="1" x14ac:dyDescent="0.2">
      <c r="A22" s="128" t="s">
        <v>33</v>
      </c>
      <c r="B22" s="128"/>
      <c r="C22" s="128"/>
      <c r="D22" s="128"/>
      <c r="E22" s="128"/>
      <c r="F22" s="128"/>
      <c r="G22" s="128"/>
      <c r="H22" s="90"/>
    </row>
    <row r="23" spans="1:8" s="3" customFormat="1" ht="14.5" customHeight="1" x14ac:dyDescent="0.2">
      <c r="A23" s="128" t="s">
        <v>34</v>
      </c>
      <c r="B23" s="128"/>
      <c r="C23" s="128"/>
      <c r="D23" s="128"/>
      <c r="E23" s="128"/>
      <c r="F23" s="128"/>
      <c r="G23" s="128"/>
      <c r="H23" s="90"/>
    </row>
    <row r="24" spans="1:8" s="3" customFormat="1" ht="27.75" customHeight="1" x14ac:dyDescent="0.2">
      <c r="A24" s="128" t="s">
        <v>35</v>
      </c>
      <c r="B24" s="128"/>
      <c r="C24" s="128"/>
      <c r="D24" s="128"/>
      <c r="E24" s="128"/>
      <c r="F24" s="128"/>
      <c r="G24" s="128"/>
      <c r="H24" s="90"/>
    </row>
    <row r="25" spans="1:8" s="3" customFormat="1" ht="30" customHeight="1" x14ac:dyDescent="0.2">
      <c r="A25" s="128" t="s">
        <v>36</v>
      </c>
      <c r="B25" s="128"/>
      <c r="C25" s="128"/>
      <c r="D25" s="128"/>
      <c r="E25" s="128"/>
      <c r="F25" s="128"/>
      <c r="G25" s="128"/>
      <c r="H25" s="90"/>
    </row>
    <row r="26" spans="1:8" x14ac:dyDescent="0.2">
      <c r="A26" s="6" t="s">
        <v>37</v>
      </c>
      <c r="F26" s="90"/>
    </row>
    <row r="27" spans="1:8" s="33" customFormat="1" ht="44" x14ac:dyDescent="0.25">
      <c r="A27" s="29" t="s">
        <v>38</v>
      </c>
      <c r="B27" s="30" t="s">
        <v>39</v>
      </c>
      <c r="C27" s="30" t="s">
        <v>40</v>
      </c>
      <c r="D27" s="29" t="s">
        <v>41</v>
      </c>
      <c r="E27" s="30" t="s">
        <v>42</v>
      </c>
      <c r="F27" s="31" t="s">
        <v>43</v>
      </c>
      <c r="G27" s="30" t="s">
        <v>30</v>
      </c>
      <c r="H27" s="32"/>
    </row>
    <row r="28" spans="1:8" x14ac:dyDescent="0.2">
      <c r="A28" s="42"/>
      <c r="B28" s="43"/>
      <c r="C28" s="43"/>
      <c r="D28" s="42"/>
      <c r="E28" s="43"/>
      <c r="F28" s="43"/>
      <c r="G28" s="43"/>
    </row>
    <row r="29" spans="1:8" s="18" customFormat="1" ht="18.75" customHeight="1" x14ac:dyDescent="0.25">
      <c r="A29" s="5" t="s">
        <v>44</v>
      </c>
      <c r="B29" s="44"/>
      <c r="C29" s="91"/>
      <c r="D29" s="44"/>
      <c r="E29" s="91"/>
      <c r="F29" s="91"/>
      <c r="G29" s="45"/>
    </row>
    <row r="30" spans="1:8" ht="239.25" customHeight="1" x14ac:dyDescent="0.25">
      <c r="A30" s="46"/>
      <c r="B30" s="18"/>
      <c r="C30" s="90" t="s">
        <v>45</v>
      </c>
      <c r="D30" s="18" t="s">
        <v>46</v>
      </c>
      <c r="E30" s="90" t="s">
        <v>47</v>
      </c>
      <c r="F30" s="7" t="s">
        <v>48</v>
      </c>
      <c r="G30" s="47"/>
    </row>
    <row r="31" spans="1:8" ht="257" x14ac:dyDescent="0.25">
      <c r="A31" s="46"/>
      <c r="B31" s="18"/>
      <c r="C31" s="90" t="s">
        <v>49</v>
      </c>
      <c r="D31" s="90" t="s">
        <v>46</v>
      </c>
      <c r="E31" s="90" t="s">
        <v>2232</v>
      </c>
      <c r="F31" s="90" t="s">
        <v>2231</v>
      </c>
      <c r="G31" s="90"/>
    </row>
    <row r="32" spans="1:8" s="18" customFormat="1" ht="19" x14ac:dyDescent="0.25">
      <c r="A32" s="46" t="s">
        <v>50</v>
      </c>
      <c r="B32" s="90"/>
      <c r="C32" s="48"/>
      <c r="E32" s="90"/>
      <c r="F32" s="90"/>
      <c r="G32" s="90" t="s">
        <v>51</v>
      </c>
    </row>
    <row r="33" spans="1:8" ht="192" x14ac:dyDescent="0.2">
      <c r="C33" s="49" t="s">
        <v>50</v>
      </c>
      <c r="D33" s="6" t="s">
        <v>52</v>
      </c>
      <c r="E33" s="3" t="s">
        <v>2207</v>
      </c>
      <c r="F33" s="90" t="s">
        <v>53</v>
      </c>
      <c r="G33" s="3" t="s">
        <v>54</v>
      </c>
    </row>
    <row r="34" spans="1:8" x14ac:dyDescent="0.2">
      <c r="F34" s="90"/>
    </row>
    <row r="35" spans="1:8" s="18" customFormat="1" ht="85.5" customHeight="1" x14ac:dyDescent="0.25">
      <c r="A35" s="50" t="s">
        <v>55</v>
      </c>
      <c r="B35" s="91"/>
      <c r="C35" s="129" t="s">
        <v>56</v>
      </c>
      <c r="D35" s="129"/>
      <c r="E35" s="129"/>
      <c r="F35" s="129"/>
      <c r="G35" s="129"/>
    </row>
    <row r="36" spans="1:8" s="53" customFormat="1" ht="396" customHeight="1" x14ac:dyDescent="0.15">
      <c r="A36" s="51"/>
      <c r="B36" s="51"/>
      <c r="C36" s="92" t="s">
        <v>57</v>
      </c>
      <c r="D36" s="92" t="s">
        <v>58</v>
      </c>
      <c r="E36" s="92" t="s">
        <v>59</v>
      </c>
      <c r="F36" s="130" t="s">
        <v>2234</v>
      </c>
      <c r="G36" s="130"/>
      <c r="H36" s="52"/>
    </row>
    <row r="37" spans="1:8" ht="320" x14ac:dyDescent="0.2">
      <c r="A37" s="54"/>
      <c r="C37" s="3" t="s">
        <v>60</v>
      </c>
      <c r="D37" s="6" t="s">
        <v>61</v>
      </c>
      <c r="E37" s="3" t="s">
        <v>62</v>
      </c>
      <c r="F37" s="90" t="s">
        <v>63</v>
      </c>
      <c r="G37" s="90" t="s">
        <v>64</v>
      </c>
    </row>
    <row r="38" spans="1:8" ht="80" x14ac:dyDescent="0.2">
      <c r="C38" s="3" t="s">
        <v>65</v>
      </c>
      <c r="D38" s="6" t="s">
        <v>61</v>
      </c>
      <c r="E38" s="3" t="s">
        <v>66</v>
      </c>
      <c r="F38" s="90" t="s">
        <v>67</v>
      </c>
      <c r="G38" s="90" t="s">
        <v>68</v>
      </c>
    </row>
    <row r="39" spans="1:8" ht="80" x14ac:dyDescent="0.2">
      <c r="C39" s="3" t="s">
        <v>69</v>
      </c>
      <c r="D39" s="6" t="s">
        <v>61</v>
      </c>
      <c r="E39" s="3" t="s">
        <v>70</v>
      </c>
      <c r="F39" s="90" t="s">
        <v>71</v>
      </c>
      <c r="G39" s="90" t="s">
        <v>72</v>
      </c>
    </row>
    <row r="40" spans="1:8" ht="80" x14ac:dyDescent="0.2">
      <c r="C40" s="3" t="s">
        <v>73</v>
      </c>
      <c r="D40" s="6" t="s">
        <v>74</v>
      </c>
      <c r="E40" s="3" t="s">
        <v>75</v>
      </c>
      <c r="F40" s="90" t="s">
        <v>76</v>
      </c>
      <c r="G40" s="90" t="s">
        <v>77</v>
      </c>
    </row>
    <row r="41" spans="1:8" ht="80" x14ac:dyDescent="0.2">
      <c r="C41" s="3" t="s">
        <v>78</v>
      </c>
      <c r="D41" s="6" t="s">
        <v>61</v>
      </c>
      <c r="E41" s="3" t="s">
        <v>79</v>
      </c>
      <c r="F41" s="90" t="s">
        <v>80</v>
      </c>
      <c r="G41" s="90" t="s">
        <v>81</v>
      </c>
    </row>
    <row r="42" spans="1:8" ht="80" x14ac:dyDescent="0.2">
      <c r="C42" s="3" t="s">
        <v>82</v>
      </c>
      <c r="D42" s="6" t="s">
        <v>61</v>
      </c>
      <c r="E42" s="3" t="s">
        <v>83</v>
      </c>
      <c r="F42" s="90" t="s">
        <v>84</v>
      </c>
      <c r="G42" s="3" t="s">
        <v>85</v>
      </c>
    </row>
    <row r="43" spans="1:8" ht="64" x14ac:dyDescent="0.2">
      <c r="C43" s="3" t="s">
        <v>86</v>
      </c>
      <c r="D43" s="6" t="s">
        <v>46</v>
      </c>
      <c r="E43" s="3" t="s">
        <v>87</v>
      </c>
      <c r="F43" s="90" t="s">
        <v>88</v>
      </c>
    </row>
    <row r="44" spans="1:8" ht="64" x14ac:dyDescent="0.2">
      <c r="C44" s="3" t="s">
        <v>89</v>
      </c>
      <c r="D44" s="6" t="s">
        <v>46</v>
      </c>
      <c r="E44" s="3" t="s">
        <v>87</v>
      </c>
      <c r="F44" s="90" t="s">
        <v>90</v>
      </c>
    </row>
    <row r="45" spans="1:8" ht="64" x14ac:dyDescent="0.2">
      <c r="C45" s="3" t="s">
        <v>91</v>
      </c>
      <c r="D45" s="6" t="s">
        <v>46</v>
      </c>
      <c r="E45" s="3" t="s">
        <v>87</v>
      </c>
      <c r="F45" s="90" t="s">
        <v>92</v>
      </c>
    </row>
    <row r="46" spans="1:8" ht="64" x14ac:dyDescent="0.2">
      <c r="C46" s="3" t="s">
        <v>93</v>
      </c>
      <c r="D46" s="6" t="s">
        <v>46</v>
      </c>
      <c r="E46" s="3" t="s">
        <v>87</v>
      </c>
      <c r="F46" s="90" t="s">
        <v>94</v>
      </c>
    </row>
    <row r="47" spans="1:8" ht="64" x14ac:dyDescent="0.2">
      <c r="C47" s="3" t="s">
        <v>95</v>
      </c>
      <c r="D47" s="6" t="s">
        <v>46</v>
      </c>
      <c r="E47" s="3" t="s">
        <v>87</v>
      </c>
      <c r="F47" s="90" t="s">
        <v>96</v>
      </c>
      <c r="G47" s="3" t="s">
        <v>97</v>
      </c>
    </row>
    <row r="48" spans="1:8" ht="144" x14ac:dyDescent="0.2">
      <c r="B48" s="55"/>
      <c r="C48" s="3" t="s">
        <v>98</v>
      </c>
      <c r="D48" s="6" t="s">
        <v>46</v>
      </c>
      <c r="E48" s="3" t="s">
        <v>99</v>
      </c>
      <c r="F48" s="90" t="s">
        <v>100</v>
      </c>
      <c r="G48" s="3" t="s">
        <v>101</v>
      </c>
    </row>
    <row r="49" spans="1:8" ht="64" x14ac:dyDescent="0.2">
      <c r="B49" s="54"/>
      <c r="C49" s="3" t="s">
        <v>102</v>
      </c>
      <c r="D49" s="6" t="s">
        <v>46</v>
      </c>
      <c r="E49" s="3" t="s">
        <v>87</v>
      </c>
      <c r="F49" s="90" t="s">
        <v>103</v>
      </c>
      <c r="G49" s="85" t="s">
        <v>104</v>
      </c>
    </row>
    <row r="50" spans="1:8" ht="96" x14ac:dyDescent="0.2">
      <c r="B50" s="90"/>
      <c r="C50" s="3" t="s">
        <v>105</v>
      </c>
      <c r="D50" s="6" t="s">
        <v>46</v>
      </c>
      <c r="E50" s="3" t="s">
        <v>106</v>
      </c>
      <c r="F50" s="90" t="s">
        <v>107</v>
      </c>
      <c r="G50" s="3" t="s">
        <v>108</v>
      </c>
    </row>
    <row r="51" spans="1:8" s="54" customFormat="1" ht="112" x14ac:dyDescent="0.2">
      <c r="A51" s="6"/>
      <c r="B51" s="90"/>
      <c r="C51" s="3" t="s">
        <v>109</v>
      </c>
      <c r="D51" s="6" t="s">
        <v>52</v>
      </c>
      <c r="E51" s="3" t="s">
        <v>110</v>
      </c>
      <c r="F51" s="90" t="s">
        <v>111</v>
      </c>
      <c r="G51" s="3" t="s">
        <v>112</v>
      </c>
      <c r="H51" s="56"/>
    </row>
    <row r="52" spans="1:8" s="18" customFormat="1" ht="197" x14ac:dyDescent="0.2">
      <c r="A52" s="55"/>
      <c r="B52" s="90"/>
      <c r="C52" s="92" t="s">
        <v>113</v>
      </c>
      <c r="D52" s="92" t="s">
        <v>61</v>
      </c>
      <c r="E52" s="92" t="s">
        <v>114</v>
      </c>
      <c r="F52" s="92"/>
      <c r="G52" s="92" t="s">
        <v>115</v>
      </c>
    </row>
    <row r="53" spans="1:8" s="18" customFormat="1" ht="238" x14ac:dyDescent="0.2">
      <c r="A53" s="54"/>
      <c r="B53" s="3"/>
      <c r="C53" s="92" t="s">
        <v>116</v>
      </c>
      <c r="D53" s="92" t="s">
        <v>61</v>
      </c>
      <c r="E53" s="92" t="s">
        <v>117</v>
      </c>
      <c r="F53" s="92" t="s">
        <v>118</v>
      </c>
      <c r="G53" s="57" t="s">
        <v>119</v>
      </c>
    </row>
    <row r="54" spans="1:8" x14ac:dyDescent="0.2">
      <c r="A54" s="18"/>
      <c r="C54" s="90"/>
      <c r="D54" s="18"/>
      <c r="E54" s="90"/>
      <c r="F54" s="90"/>
      <c r="G54" s="90"/>
    </row>
    <row r="56" spans="1:8" s="18" customFormat="1" ht="40" x14ac:dyDescent="0.25">
      <c r="A56" s="58" t="s">
        <v>120</v>
      </c>
      <c r="B56" s="91"/>
      <c r="C56" s="91"/>
      <c r="D56" s="44"/>
      <c r="E56" s="91"/>
      <c r="F56" s="91"/>
      <c r="G56" s="91" t="s">
        <v>121</v>
      </c>
    </row>
    <row r="57" spans="1:8" s="18" customFormat="1" ht="224" x14ac:dyDescent="0.2">
      <c r="A57" s="6"/>
      <c r="B57" s="3"/>
      <c r="C57" s="3" t="s">
        <v>122</v>
      </c>
      <c r="D57" s="6" t="s">
        <v>46</v>
      </c>
      <c r="E57" s="3" t="s">
        <v>123</v>
      </c>
      <c r="F57" s="90" t="s">
        <v>124</v>
      </c>
      <c r="G57" s="90" t="s">
        <v>2208</v>
      </c>
    </row>
    <row r="58" spans="1:8" ht="80" x14ac:dyDescent="0.2">
      <c r="C58" s="3" t="s">
        <v>125</v>
      </c>
      <c r="D58" s="6" t="s">
        <v>46</v>
      </c>
      <c r="E58" s="3" t="s">
        <v>126</v>
      </c>
      <c r="F58" s="90" t="s">
        <v>127</v>
      </c>
      <c r="G58" s="90" t="s">
        <v>2209</v>
      </c>
    </row>
    <row r="59" spans="1:8" x14ac:dyDescent="0.2">
      <c r="F59" s="90"/>
      <c r="G59" s="90"/>
    </row>
    <row r="60" spans="1:8" ht="193" x14ac:dyDescent="0.25">
      <c r="A60" s="59" t="s">
        <v>128</v>
      </c>
      <c r="C60" s="91"/>
      <c r="D60" s="44"/>
      <c r="E60" s="91"/>
      <c r="F60" s="91"/>
      <c r="G60" s="91" t="s">
        <v>129</v>
      </c>
    </row>
    <row r="61" spans="1:8" ht="96" x14ac:dyDescent="0.2">
      <c r="C61" s="3" t="s">
        <v>130</v>
      </c>
      <c r="D61" s="3" t="s">
        <v>46</v>
      </c>
      <c r="E61" s="3" t="s">
        <v>131</v>
      </c>
      <c r="F61" s="90" t="s">
        <v>132</v>
      </c>
      <c r="G61" s="3" t="s">
        <v>133</v>
      </c>
    </row>
    <row r="62" spans="1:8" ht="112" x14ac:dyDescent="0.2">
      <c r="C62" s="3" t="s">
        <v>134</v>
      </c>
      <c r="D62" s="6" t="s">
        <v>46</v>
      </c>
      <c r="E62" s="3" t="s">
        <v>135</v>
      </c>
      <c r="F62" s="90" t="s">
        <v>136</v>
      </c>
      <c r="G62" s="3" t="s">
        <v>137</v>
      </c>
    </row>
    <row r="63" spans="1:8" ht="112" x14ac:dyDescent="0.2">
      <c r="C63" s="3" t="s">
        <v>138</v>
      </c>
      <c r="D63" s="6" t="s">
        <v>46</v>
      </c>
      <c r="E63" s="3" t="s">
        <v>135</v>
      </c>
      <c r="F63" s="90" t="s">
        <v>139</v>
      </c>
    </row>
    <row r="64" spans="1:8" ht="112" x14ac:dyDescent="0.2">
      <c r="C64" s="3" t="s">
        <v>140</v>
      </c>
      <c r="D64" s="6" t="s">
        <v>46</v>
      </c>
      <c r="E64" s="3" t="s">
        <v>135</v>
      </c>
      <c r="F64" s="90" t="s">
        <v>141</v>
      </c>
      <c r="G64" s="3" t="s">
        <v>142</v>
      </c>
    </row>
    <row r="65" spans="1:7" ht="112" x14ac:dyDescent="0.2">
      <c r="C65" s="3" t="s">
        <v>143</v>
      </c>
      <c r="D65" s="6" t="s">
        <v>46</v>
      </c>
      <c r="E65" s="3" t="s">
        <v>135</v>
      </c>
      <c r="F65" s="90" t="s">
        <v>144</v>
      </c>
      <c r="G65" s="3" t="s">
        <v>145</v>
      </c>
    </row>
    <row r="66" spans="1:7" ht="96" x14ac:dyDescent="0.2">
      <c r="C66" s="3" t="s">
        <v>146</v>
      </c>
      <c r="D66" s="6" t="s">
        <v>46</v>
      </c>
      <c r="E66" s="3" t="s">
        <v>131</v>
      </c>
      <c r="F66" s="90" t="s">
        <v>147</v>
      </c>
      <c r="G66" s="3" t="s">
        <v>148</v>
      </c>
    </row>
    <row r="67" spans="1:7" ht="89.25" customHeight="1" x14ac:dyDescent="0.2">
      <c r="C67" s="3" t="s">
        <v>149</v>
      </c>
      <c r="D67" s="6" t="s">
        <v>46</v>
      </c>
      <c r="E67" s="3" t="s">
        <v>131</v>
      </c>
      <c r="F67" s="90" t="s">
        <v>150</v>
      </c>
      <c r="G67" s="3" t="s">
        <v>151</v>
      </c>
    </row>
    <row r="68" spans="1:7" ht="96" x14ac:dyDescent="0.2">
      <c r="C68" s="3" t="s">
        <v>152</v>
      </c>
      <c r="D68" s="3" t="s">
        <v>46</v>
      </c>
      <c r="E68" s="3" t="s">
        <v>131</v>
      </c>
      <c r="F68" s="90" t="s">
        <v>153</v>
      </c>
      <c r="G68" s="3" t="s">
        <v>154</v>
      </c>
    </row>
    <row r="69" spans="1:7" ht="96" x14ac:dyDescent="0.2">
      <c r="C69" s="3" t="s">
        <v>155</v>
      </c>
      <c r="D69" s="6" t="s">
        <v>156</v>
      </c>
      <c r="E69" s="3" t="s">
        <v>131</v>
      </c>
      <c r="F69" s="90" t="s">
        <v>157</v>
      </c>
      <c r="G69" s="3" t="s">
        <v>158</v>
      </c>
    </row>
    <row r="70" spans="1:7" ht="96" x14ac:dyDescent="0.2">
      <c r="C70" s="3" t="s">
        <v>159</v>
      </c>
      <c r="D70" s="6" t="s">
        <v>156</v>
      </c>
      <c r="E70" s="3" t="s">
        <v>131</v>
      </c>
      <c r="F70" s="90" t="s">
        <v>160</v>
      </c>
      <c r="G70" s="3" t="s">
        <v>158</v>
      </c>
    </row>
    <row r="71" spans="1:7" ht="96" x14ac:dyDescent="0.2">
      <c r="C71" s="3" t="s">
        <v>161</v>
      </c>
      <c r="D71" s="6" t="s">
        <v>156</v>
      </c>
      <c r="E71" s="3" t="s">
        <v>131</v>
      </c>
      <c r="F71" s="90" t="s">
        <v>162</v>
      </c>
      <c r="G71" s="3" t="s">
        <v>158</v>
      </c>
    </row>
    <row r="72" spans="1:7" ht="96" x14ac:dyDescent="0.2">
      <c r="C72" s="3" t="s">
        <v>163</v>
      </c>
      <c r="D72" s="6" t="s">
        <v>46</v>
      </c>
      <c r="E72" s="3" t="s">
        <v>131</v>
      </c>
      <c r="F72" s="90"/>
    </row>
    <row r="73" spans="1:7" ht="96" x14ac:dyDescent="0.2">
      <c r="C73" s="3" t="s">
        <v>164</v>
      </c>
      <c r="D73" s="6" t="s">
        <v>46</v>
      </c>
      <c r="E73" s="3" t="s">
        <v>131</v>
      </c>
      <c r="F73" s="81" t="s">
        <v>165</v>
      </c>
    </row>
    <row r="74" spans="1:7" s="18" customFormat="1" ht="160" x14ac:dyDescent="0.2">
      <c r="C74" s="90" t="s">
        <v>166</v>
      </c>
      <c r="D74" s="18" t="s">
        <v>46</v>
      </c>
      <c r="E74" s="90" t="s">
        <v>167</v>
      </c>
      <c r="F74" s="90" t="s">
        <v>168</v>
      </c>
      <c r="G74" s="90" t="s">
        <v>169</v>
      </c>
    </row>
    <row r="75" spans="1:7" x14ac:dyDescent="0.2">
      <c r="B75" s="6"/>
      <c r="C75" s="3">
        <f>COUNTA(C61:C74)</f>
        <v>14</v>
      </c>
      <c r="F75" s="90"/>
    </row>
    <row r="77" spans="1:7" s="18" customFormat="1" ht="49" x14ac:dyDescent="0.25">
      <c r="A77" s="5" t="s">
        <v>170</v>
      </c>
      <c r="B77" s="5"/>
      <c r="C77" s="91" t="s">
        <v>171</v>
      </c>
      <c r="D77" s="91"/>
      <c r="E77" s="44"/>
      <c r="F77" s="60"/>
      <c r="G77" s="91" t="s">
        <v>172</v>
      </c>
    </row>
    <row r="78" spans="1:7" ht="213" customHeight="1" x14ac:dyDescent="0.2">
      <c r="C78" s="3" t="s">
        <v>173</v>
      </c>
      <c r="D78" s="3" t="s">
        <v>174</v>
      </c>
      <c r="E78" s="3" t="s">
        <v>175</v>
      </c>
      <c r="F78" s="7" t="s">
        <v>176</v>
      </c>
      <c r="G78" s="3" t="s">
        <v>177</v>
      </c>
    </row>
    <row r="79" spans="1:7" ht="16" x14ac:dyDescent="0.2">
      <c r="B79" s="61" t="s">
        <v>178</v>
      </c>
      <c r="D79" s="3"/>
      <c r="E79" s="6"/>
      <c r="F79" s="7"/>
    </row>
    <row r="80" spans="1:7" ht="87.5" customHeight="1" x14ac:dyDescent="0.25">
      <c r="A80" s="5" t="s">
        <v>179</v>
      </c>
      <c r="B80" s="90"/>
      <c r="C80" s="91"/>
      <c r="D80" s="44"/>
      <c r="E80" s="91"/>
      <c r="F80" s="129" t="s">
        <v>180</v>
      </c>
      <c r="G80" s="129"/>
    </row>
    <row r="81" spans="1:8" ht="348" customHeight="1" x14ac:dyDescent="0.2">
      <c r="B81" s="18"/>
      <c r="C81" s="3" t="s">
        <v>181</v>
      </c>
      <c r="D81" s="6" t="s">
        <v>182</v>
      </c>
      <c r="E81" s="3" t="s">
        <v>183</v>
      </c>
      <c r="F81" s="128" t="s">
        <v>184</v>
      </c>
      <c r="G81" s="128"/>
    </row>
    <row r="82" spans="1:8" s="18" customFormat="1" ht="367" customHeight="1" x14ac:dyDescent="0.2">
      <c r="B82" s="90"/>
      <c r="C82" s="90" t="s">
        <v>185</v>
      </c>
      <c r="E82" s="90" t="s">
        <v>2210</v>
      </c>
      <c r="F82" s="128" t="s">
        <v>186</v>
      </c>
      <c r="G82" s="128"/>
    </row>
    <row r="83" spans="1:8" s="18" customFormat="1" ht="165.5" customHeight="1" x14ac:dyDescent="0.2">
      <c r="A83" s="6"/>
      <c r="B83" s="3"/>
      <c r="C83" s="3"/>
      <c r="D83" s="6"/>
      <c r="E83" s="3"/>
      <c r="F83" s="128" t="s">
        <v>187</v>
      </c>
      <c r="G83" s="128"/>
    </row>
    <row r="84" spans="1:8" s="18" customFormat="1" x14ac:dyDescent="0.2">
      <c r="B84" s="90"/>
      <c r="C84" s="90"/>
      <c r="E84" s="90"/>
      <c r="F84" s="90"/>
      <c r="G84" s="90"/>
    </row>
    <row r="85" spans="1:8" s="18" customFormat="1" ht="15" customHeight="1" x14ac:dyDescent="0.25">
      <c r="A85" s="5" t="s">
        <v>188</v>
      </c>
      <c r="B85" s="91"/>
      <c r="C85" s="91"/>
      <c r="D85" s="44"/>
      <c r="E85" s="91"/>
      <c r="F85" s="91"/>
      <c r="G85" s="91"/>
    </row>
    <row r="86" spans="1:8" s="18" customFormat="1" ht="112" x14ac:dyDescent="0.2">
      <c r="B86" s="90"/>
      <c r="C86" s="90" t="s">
        <v>189</v>
      </c>
      <c r="D86" s="18" t="s">
        <v>46</v>
      </c>
      <c r="E86" s="90" t="s">
        <v>190</v>
      </c>
      <c r="F86" s="90" t="s">
        <v>191</v>
      </c>
      <c r="G86" s="90" t="s">
        <v>192</v>
      </c>
    </row>
    <row r="87" spans="1:8" s="18" customFormat="1" ht="131.25" customHeight="1" x14ac:dyDescent="0.2">
      <c r="B87" s="90"/>
      <c r="C87" s="90" t="s">
        <v>193</v>
      </c>
      <c r="D87" s="18" t="s">
        <v>46</v>
      </c>
      <c r="E87" s="90" t="s">
        <v>194</v>
      </c>
      <c r="F87" s="90" t="s">
        <v>195</v>
      </c>
      <c r="G87" s="90" t="s">
        <v>196</v>
      </c>
    </row>
    <row r="88" spans="1:8" s="18" customFormat="1" x14ac:dyDescent="0.2">
      <c r="B88" s="90"/>
      <c r="C88" s="90"/>
      <c r="E88" s="90"/>
      <c r="F88" s="90"/>
      <c r="G88" s="90"/>
    </row>
    <row r="89" spans="1:8" s="18" customFormat="1" ht="19" x14ac:dyDescent="0.25">
      <c r="A89" s="5" t="s">
        <v>197</v>
      </c>
      <c r="B89" s="91"/>
      <c r="C89" s="91"/>
      <c r="D89" s="91"/>
      <c r="E89" s="44"/>
      <c r="F89" s="60"/>
      <c r="G89" s="91" t="s">
        <v>198</v>
      </c>
    </row>
    <row r="90" spans="1:8" ht="114" customHeight="1" x14ac:dyDescent="0.2">
      <c r="A90" s="18"/>
      <c r="C90" s="90" t="s">
        <v>199</v>
      </c>
      <c r="D90" s="18" t="s">
        <v>200</v>
      </c>
      <c r="E90" s="90" t="s">
        <v>201</v>
      </c>
      <c r="F90" s="90" t="s">
        <v>202</v>
      </c>
      <c r="G90" s="90" t="s">
        <v>203</v>
      </c>
      <c r="H90" s="18" t="s">
        <v>204</v>
      </c>
    </row>
    <row r="91" spans="1:8" ht="16" x14ac:dyDescent="0.2">
      <c r="B91" s="61"/>
      <c r="F91" s="90"/>
      <c r="G91" s="3" t="s">
        <v>205</v>
      </c>
    </row>
    <row r="92" spans="1:8" ht="151.5" customHeight="1" x14ac:dyDescent="0.25">
      <c r="A92" s="50" t="s">
        <v>206</v>
      </c>
      <c r="C92" s="91"/>
      <c r="D92" s="44"/>
      <c r="E92" s="91"/>
      <c r="F92" s="91"/>
      <c r="G92" s="91" t="s">
        <v>2212</v>
      </c>
    </row>
    <row r="93" spans="1:8" ht="64" x14ac:dyDescent="0.2">
      <c r="C93" s="3" t="s">
        <v>207</v>
      </c>
      <c r="D93" s="6" t="s">
        <v>46</v>
      </c>
      <c r="E93" s="3" t="s">
        <v>2211</v>
      </c>
      <c r="F93" s="90" t="s">
        <v>208</v>
      </c>
      <c r="G93" s="3" t="s">
        <v>209</v>
      </c>
    </row>
    <row r="94" spans="1:8" ht="64" x14ac:dyDescent="0.2">
      <c r="C94" s="90" t="s">
        <v>210</v>
      </c>
      <c r="D94" s="18" t="s">
        <v>156</v>
      </c>
      <c r="E94" s="3" t="s">
        <v>2211</v>
      </c>
      <c r="F94" s="90" t="s">
        <v>211</v>
      </c>
      <c r="G94" s="3" t="s">
        <v>212</v>
      </c>
    </row>
    <row r="95" spans="1:8" ht="64" x14ac:dyDescent="0.2">
      <c r="C95" s="90" t="s">
        <v>213</v>
      </c>
      <c r="D95" s="18" t="s">
        <v>156</v>
      </c>
      <c r="E95" s="3" t="s">
        <v>2211</v>
      </c>
      <c r="F95" s="90" t="s">
        <v>214</v>
      </c>
      <c r="G95" s="3" t="s">
        <v>215</v>
      </c>
    </row>
    <row r="96" spans="1:8" ht="64" x14ac:dyDescent="0.2">
      <c r="C96" s="90" t="s">
        <v>216</v>
      </c>
      <c r="D96" s="18" t="s">
        <v>156</v>
      </c>
      <c r="E96" s="3" t="s">
        <v>2211</v>
      </c>
      <c r="F96" s="90" t="s">
        <v>217</v>
      </c>
      <c r="G96" s="3" t="s">
        <v>218</v>
      </c>
    </row>
    <row r="97" spans="1:7" ht="64" x14ac:dyDescent="0.2">
      <c r="C97" s="90" t="s">
        <v>219</v>
      </c>
      <c r="D97" s="18" t="s">
        <v>156</v>
      </c>
      <c r="E97" s="3" t="s">
        <v>2211</v>
      </c>
      <c r="F97" s="90" t="s">
        <v>220</v>
      </c>
      <c r="G97" s="3" t="s">
        <v>218</v>
      </c>
    </row>
    <row r="98" spans="1:7" ht="64" x14ac:dyDescent="0.2">
      <c r="C98" s="90" t="s">
        <v>221</v>
      </c>
      <c r="D98" s="18" t="s">
        <v>156</v>
      </c>
      <c r="E98" s="3" t="s">
        <v>2211</v>
      </c>
      <c r="F98" s="90" t="s">
        <v>222</v>
      </c>
      <c r="G98" s="3" t="s">
        <v>218</v>
      </c>
    </row>
    <row r="99" spans="1:7" ht="64" x14ac:dyDescent="0.2">
      <c r="C99" s="90" t="s">
        <v>223</v>
      </c>
      <c r="D99" s="18" t="s">
        <v>156</v>
      </c>
      <c r="E99" s="3" t="s">
        <v>2211</v>
      </c>
      <c r="F99" s="90" t="s">
        <v>224</v>
      </c>
      <c r="G99" s="3" t="s">
        <v>218</v>
      </c>
    </row>
    <row r="100" spans="1:7" ht="64" x14ac:dyDescent="0.2">
      <c r="C100" s="90" t="s">
        <v>225</v>
      </c>
      <c r="D100" s="18" t="s">
        <v>156</v>
      </c>
      <c r="E100" s="3" t="s">
        <v>2211</v>
      </c>
      <c r="F100" s="90" t="s">
        <v>226</v>
      </c>
      <c r="G100" s="3" t="s">
        <v>218</v>
      </c>
    </row>
    <row r="101" spans="1:7" ht="64" x14ac:dyDescent="0.2">
      <c r="C101" s="90" t="s">
        <v>227</v>
      </c>
      <c r="D101" s="18" t="s">
        <v>156</v>
      </c>
      <c r="E101" s="3" t="s">
        <v>2211</v>
      </c>
      <c r="F101" s="90" t="s">
        <v>228</v>
      </c>
      <c r="G101" s="3" t="s">
        <v>218</v>
      </c>
    </row>
    <row r="102" spans="1:7" ht="64" x14ac:dyDescent="0.2">
      <c r="C102" s="90" t="s">
        <v>229</v>
      </c>
      <c r="D102" s="18" t="s">
        <v>156</v>
      </c>
      <c r="E102" s="3" t="s">
        <v>2211</v>
      </c>
      <c r="F102" s="90" t="s">
        <v>230</v>
      </c>
      <c r="G102" s="3" t="s">
        <v>218</v>
      </c>
    </row>
    <row r="103" spans="1:7" ht="64" x14ac:dyDescent="0.2">
      <c r="C103" s="90" t="s">
        <v>231</v>
      </c>
      <c r="D103" s="18" t="s">
        <v>156</v>
      </c>
      <c r="E103" s="3" t="s">
        <v>2211</v>
      </c>
      <c r="F103" s="90" t="s">
        <v>232</v>
      </c>
      <c r="G103" s="3" t="s">
        <v>218</v>
      </c>
    </row>
    <row r="104" spans="1:7" ht="64" x14ac:dyDescent="0.2">
      <c r="C104" s="90" t="s">
        <v>233</v>
      </c>
      <c r="D104" s="18" t="s">
        <v>156</v>
      </c>
      <c r="E104" s="3" t="s">
        <v>2211</v>
      </c>
      <c r="F104" s="90" t="s">
        <v>234</v>
      </c>
      <c r="G104" s="3" t="s">
        <v>218</v>
      </c>
    </row>
    <row r="105" spans="1:7" ht="64" x14ac:dyDescent="0.2">
      <c r="C105" s="90" t="s">
        <v>235</v>
      </c>
      <c r="D105" s="18" t="s">
        <v>156</v>
      </c>
      <c r="E105" s="3" t="s">
        <v>2211</v>
      </c>
      <c r="F105" s="90" t="s">
        <v>236</v>
      </c>
      <c r="G105" s="3" t="s">
        <v>218</v>
      </c>
    </row>
    <row r="106" spans="1:7" ht="64" x14ac:dyDescent="0.2">
      <c r="B106" s="90"/>
      <c r="C106" s="90" t="s">
        <v>237</v>
      </c>
      <c r="D106" s="18" t="s">
        <v>156</v>
      </c>
      <c r="E106" s="3" t="s">
        <v>2211</v>
      </c>
      <c r="F106" s="90" t="s">
        <v>238</v>
      </c>
      <c r="G106" s="3" t="s">
        <v>218</v>
      </c>
    </row>
    <row r="107" spans="1:7" s="18" customFormat="1" ht="64" x14ac:dyDescent="0.2">
      <c r="C107" s="47" t="s">
        <v>239</v>
      </c>
      <c r="D107" s="18" t="s">
        <v>156</v>
      </c>
      <c r="E107" s="3" t="s">
        <v>2211</v>
      </c>
      <c r="F107" s="90" t="s">
        <v>240</v>
      </c>
      <c r="G107" s="90"/>
    </row>
    <row r="108" spans="1:7" s="18" customFormat="1" ht="64" x14ac:dyDescent="0.2">
      <c r="A108" s="6"/>
      <c r="B108" s="6"/>
      <c r="C108" s="62" t="s">
        <v>241</v>
      </c>
      <c r="D108" s="6" t="s">
        <v>156</v>
      </c>
      <c r="E108" s="3" t="s">
        <v>2211</v>
      </c>
      <c r="F108" s="90" t="s">
        <v>242</v>
      </c>
      <c r="G108" s="3"/>
    </row>
    <row r="109" spans="1:7" ht="64" x14ac:dyDescent="0.2">
      <c r="C109" s="62" t="s">
        <v>243</v>
      </c>
      <c r="D109" s="6" t="s">
        <v>156</v>
      </c>
      <c r="E109" s="3" t="s">
        <v>2211</v>
      </c>
      <c r="F109" s="90" t="s">
        <v>244</v>
      </c>
    </row>
    <row r="110" spans="1:7" x14ac:dyDescent="0.2">
      <c r="B110" s="61"/>
      <c r="C110" s="47"/>
      <c r="D110" s="86"/>
      <c r="E110" s="90"/>
      <c r="F110" s="90"/>
    </row>
    <row r="111" spans="1:7" ht="65" x14ac:dyDescent="0.25">
      <c r="A111" s="5" t="s">
        <v>245</v>
      </c>
      <c r="B111" s="63"/>
      <c r="C111" s="91"/>
      <c r="D111" s="44"/>
      <c r="E111" s="91"/>
      <c r="F111" s="91"/>
      <c r="G111" s="91" t="s">
        <v>246</v>
      </c>
    </row>
    <row r="112" spans="1:7" s="18" customFormat="1" ht="48" x14ac:dyDescent="0.2">
      <c r="B112" s="64"/>
      <c r="C112" s="90" t="s">
        <v>247</v>
      </c>
      <c r="D112" s="18" t="s">
        <v>46</v>
      </c>
      <c r="E112" s="90" t="s">
        <v>248</v>
      </c>
      <c r="F112" s="90" t="s">
        <v>249</v>
      </c>
      <c r="G112" s="90" t="s">
        <v>250</v>
      </c>
    </row>
    <row r="113" spans="1:8" x14ac:dyDescent="0.2">
      <c r="A113" s="18"/>
      <c r="B113" s="64"/>
      <c r="C113" s="90"/>
      <c r="D113" s="18"/>
      <c r="E113" s="90"/>
      <c r="F113" s="90"/>
      <c r="G113" s="90"/>
    </row>
    <row r="114" spans="1:8" s="78" customFormat="1" ht="123" customHeight="1" x14ac:dyDescent="0.25">
      <c r="A114" s="74" t="s">
        <v>251</v>
      </c>
      <c r="B114" s="111"/>
      <c r="C114" s="75"/>
      <c r="D114" s="79"/>
      <c r="E114" s="75"/>
      <c r="F114" s="75"/>
      <c r="G114" s="75" t="s">
        <v>252</v>
      </c>
    </row>
    <row r="115" spans="1:8" s="76" customFormat="1" ht="96" x14ac:dyDescent="0.2">
      <c r="A115" s="78"/>
      <c r="B115" s="112"/>
      <c r="C115" s="81" t="s">
        <v>253</v>
      </c>
      <c r="D115" s="78" t="s">
        <v>156</v>
      </c>
      <c r="E115" s="81" t="s">
        <v>254</v>
      </c>
      <c r="F115" s="81" t="s">
        <v>255</v>
      </c>
      <c r="G115" s="81" t="s">
        <v>256</v>
      </c>
      <c r="H115" s="78"/>
    </row>
    <row r="116" spans="1:8" s="76" customFormat="1" ht="80" x14ac:dyDescent="0.2">
      <c r="A116" s="78"/>
      <c r="B116" s="112"/>
      <c r="C116" s="81" t="s">
        <v>257</v>
      </c>
      <c r="D116" s="78" t="s">
        <v>258</v>
      </c>
      <c r="E116" s="81" t="s">
        <v>259</v>
      </c>
      <c r="F116" s="81" t="s">
        <v>260</v>
      </c>
      <c r="G116" s="81"/>
      <c r="H116" s="78"/>
    </row>
    <row r="117" spans="1:8" x14ac:dyDescent="0.2">
      <c r="B117" s="64"/>
      <c r="F117" s="90"/>
    </row>
    <row r="118" spans="1:8" ht="19" x14ac:dyDescent="0.25">
      <c r="A118" s="5" t="s">
        <v>261</v>
      </c>
      <c r="B118" s="63"/>
      <c r="C118" s="65"/>
      <c r="D118" s="44"/>
      <c r="E118" s="91"/>
      <c r="F118" s="91"/>
      <c r="G118" s="91" t="s">
        <v>262</v>
      </c>
    </row>
    <row r="119" spans="1:8" ht="320" x14ac:dyDescent="0.2">
      <c r="B119" s="90"/>
      <c r="C119" s="3" t="s">
        <v>263</v>
      </c>
      <c r="E119" s="3" t="s">
        <v>2213</v>
      </c>
      <c r="F119" s="3"/>
      <c r="G119" s="3" t="s">
        <v>264</v>
      </c>
    </row>
    <row r="120" spans="1:8" ht="288" x14ac:dyDescent="0.2">
      <c r="C120" s="3" t="s">
        <v>265</v>
      </c>
      <c r="D120" s="6" t="s">
        <v>46</v>
      </c>
      <c r="E120" s="3" t="s">
        <v>2214</v>
      </c>
      <c r="F120" s="3" t="s">
        <v>266</v>
      </c>
      <c r="G120" s="3" t="s">
        <v>267</v>
      </c>
    </row>
    <row r="121" spans="1:8" ht="208" x14ac:dyDescent="0.2">
      <c r="C121" s="3" t="s">
        <v>268</v>
      </c>
      <c r="D121" s="6" t="s">
        <v>46</v>
      </c>
      <c r="E121" s="3" t="s">
        <v>2215</v>
      </c>
      <c r="F121" s="3" t="s">
        <v>266</v>
      </c>
      <c r="G121" s="3" t="s">
        <v>269</v>
      </c>
    </row>
    <row r="122" spans="1:8" x14ac:dyDescent="0.2">
      <c r="B122" s="61"/>
      <c r="F122" s="3"/>
    </row>
    <row r="123" spans="1:8" ht="81" x14ac:dyDescent="0.25">
      <c r="A123" s="50" t="s">
        <v>270</v>
      </c>
      <c r="C123" s="91"/>
      <c r="D123" s="44"/>
      <c r="E123" s="44"/>
      <c r="F123" s="91"/>
      <c r="G123" s="91" t="s">
        <v>271</v>
      </c>
    </row>
    <row r="124" spans="1:8" s="18" customFormat="1" ht="80" x14ac:dyDescent="0.2">
      <c r="A124" s="6"/>
      <c r="B124" s="3"/>
      <c r="C124" s="3" t="s">
        <v>272</v>
      </c>
      <c r="D124" s="3" t="s">
        <v>273</v>
      </c>
      <c r="E124" s="3" t="s">
        <v>274</v>
      </c>
      <c r="F124" s="3" t="s">
        <v>275</v>
      </c>
      <c r="G124" s="3" t="s">
        <v>276</v>
      </c>
    </row>
    <row r="125" spans="1:8" ht="64" x14ac:dyDescent="0.2">
      <c r="C125" s="3" t="s">
        <v>277</v>
      </c>
      <c r="D125" s="3" t="s">
        <v>273</v>
      </c>
      <c r="E125" s="3" t="s">
        <v>274</v>
      </c>
      <c r="F125" s="3" t="s">
        <v>278</v>
      </c>
      <c r="G125" s="3" t="s">
        <v>279</v>
      </c>
    </row>
    <row r="126" spans="1:8" ht="80" x14ac:dyDescent="0.2">
      <c r="B126" s="90"/>
      <c r="C126" s="3" t="s">
        <v>280</v>
      </c>
      <c r="D126" s="3" t="s">
        <v>281</v>
      </c>
      <c r="E126" s="3" t="s">
        <v>274</v>
      </c>
      <c r="F126" s="3" t="s">
        <v>282</v>
      </c>
      <c r="G126" s="3" t="s">
        <v>283</v>
      </c>
    </row>
    <row r="127" spans="1:8" ht="48" x14ac:dyDescent="0.2">
      <c r="B127" s="90"/>
      <c r="C127" s="3" t="s">
        <v>284</v>
      </c>
      <c r="D127" s="3" t="s">
        <v>285</v>
      </c>
      <c r="E127" s="3" t="s">
        <v>274</v>
      </c>
      <c r="F127" s="3" t="s">
        <v>286</v>
      </c>
      <c r="G127" s="3" t="s">
        <v>287</v>
      </c>
    </row>
    <row r="128" spans="1:8" ht="48" x14ac:dyDescent="0.2">
      <c r="A128" s="18"/>
      <c r="B128" s="90"/>
      <c r="C128" s="90" t="s">
        <v>288</v>
      </c>
      <c r="D128" s="90" t="s">
        <v>285</v>
      </c>
      <c r="E128" s="90" t="s">
        <v>274</v>
      </c>
      <c r="F128" s="90" t="s">
        <v>289</v>
      </c>
      <c r="G128" s="90"/>
    </row>
    <row r="129" spans="1:7" ht="112" x14ac:dyDescent="0.2">
      <c r="C129" s="3" t="s">
        <v>290</v>
      </c>
      <c r="D129" s="3" t="s">
        <v>291</v>
      </c>
      <c r="E129" s="3" t="s">
        <v>274</v>
      </c>
      <c r="F129" s="3" t="s">
        <v>292</v>
      </c>
      <c r="G129" s="3" t="s">
        <v>293</v>
      </c>
    </row>
    <row r="130" spans="1:7" x14ac:dyDescent="0.2">
      <c r="B130" s="61"/>
      <c r="F130" s="90"/>
    </row>
    <row r="131" spans="1:7" ht="20" x14ac:dyDescent="0.2">
      <c r="A131" s="66" t="s">
        <v>294</v>
      </c>
      <c r="C131" s="91"/>
      <c r="D131" s="44"/>
      <c r="E131" s="44"/>
      <c r="F131" s="91"/>
      <c r="G131" s="91" t="s">
        <v>295</v>
      </c>
    </row>
    <row r="132" spans="1:7" ht="112" x14ac:dyDescent="0.2">
      <c r="C132" s="62" t="s">
        <v>296</v>
      </c>
      <c r="D132" s="3" t="s">
        <v>297</v>
      </c>
      <c r="E132" s="3" t="s">
        <v>274</v>
      </c>
      <c r="F132" s="3" t="s">
        <v>298</v>
      </c>
      <c r="G132" s="3" t="s">
        <v>299</v>
      </c>
    </row>
    <row r="133" spans="1:7" ht="32" x14ac:dyDescent="0.2">
      <c r="C133" s="62" t="s">
        <v>300</v>
      </c>
      <c r="D133" s="3" t="s">
        <v>297</v>
      </c>
      <c r="E133" s="3" t="s">
        <v>274</v>
      </c>
      <c r="F133" s="3" t="s">
        <v>301</v>
      </c>
      <c r="G133" s="3" t="s">
        <v>302</v>
      </c>
    </row>
    <row r="134" spans="1:7" ht="48" x14ac:dyDescent="0.2">
      <c r="C134" s="62" t="s">
        <v>303</v>
      </c>
      <c r="D134" s="3" t="s">
        <v>304</v>
      </c>
      <c r="E134" s="3" t="s">
        <v>274</v>
      </c>
      <c r="F134" s="3" t="s">
        <v>305</v>
      </c>
      <c r="G134" s="3" t="s">
        <v>306</v>
      </c>
    </row>
    <row r="135" spans="1:7" ht="80" x14ac:dyDescent="0.2">
      <c r="C135" s="62" t="s">
        <v>307</v>
      </c>
      <c r="D135" s="3" t="s">
        <v>297</v>
      </c>
      <c r="E135" s="3" t="s">
        <v>174</v>
      </c>
      <c r="F135" s="3" t="s">
        <v>308</v>
      </c>
      <c r="G135" s="3" t="s">
        <v>309</v>
      </c>
    </row>
    <row r="136" spans="1:7" s="18" customFormat="1" ht="48" x14ac:dyDescent="0.2">
      <c r="A136" s="6"/>
      <c r="B136" s="3"/>
      <c r="C136" s="62" t="s">
        <v>310</v>
      </c>
      <c r="D136" s="3" t="s">
        <v>297</v>
      </c>
      <c r="E136" s="3" t="s">
        <v>274</v>
      </c>
      <c r="F136" s="3" t="s">
        <v>311</v>
      </c>
      <c r="G136" s="3" t="s">
        <v>312</v>
      </c>
    </row>
    <row r="137" spans="1:7" ht="64" x14ac:dyDescent="0.2">
      <c r="C137" s="62" t="s">
        <v>313</v>
      </c>
      <c r="D137" s="3" t="s">
        <v>297</v>
      </c>
      <c r="E137" s="3" t="s">
        <v>274</v>
      </c>
      <c r="F137" s="3" t="s">
        <v>314</v>
      </c>
      <c r="G137" s="3" t="s">
        <v>312</v>
      </c>
    </row>
    <row r="138" spans="1:7" ht="64" x14ac:dyDescent="0.2">
      <c r="B138" s="90"/>
      <c r="C138" s="62" t="s">
        <v>315</v>
      </c>
      <c r="D138" s="3" t="s">
        <v>297</v>
      </c>
      <c r="E138" s="3" t="s">
        <v>274</v>
      </c>
      <c r="F138" s="3" t="s">
        <v>316</v>
      </c>
      <c r="G138" s="3" t="s">
        <v>317</v>
      </c>
    </row>
    <row r="139" spans="1:7" s="18" customFormat="1" ht="48" x14ac:dyDescent="0.2">
      <c r="A139" s="6"/>
      <c r="C139" s="62" t="s">
        <v>318</v>
      </c>
      <c r="D139" s="3" t="s">
        <v>319</v>
      </c>
      <c r="E139" s="3" t="s">
        <v>274</v>
      </c>
      <c r="F139" s="3" t="s">
        <v>320</v>
      </c>
      <c r="G139" s="3" t="s">
        <v>321</v>
      </c>
    </row>
    <row r="140" spans="1:7" s="18" customFormat="1" ht="48" x14ac:dyDescent="0.2">
      <c r="C140" s="47" t="s">
        <v>322</v>
      </c>
      <c r="D140" s="90" t="s">
        <v>319</v>
      </c>
      <c r="E140" s="90" t="s">
        <v>274</v>
      </c>
      <c r="F140" s="90" t="s">
        <v>323</v>
      </c>
      <c r="G140" s="90" t="s">
        <v>324</v>
      </c>
    </row>
    <row r="141" spans="1:7" ht="64" x14ac:dyDescent="0.2">
      <c r="B141" s="18"/>
      <c r="C141" s="62" t="s">
        <v>325</v>
      </c>
      <c r="D141" s="3" t="s">
        <v>326</v>
      </c>
      <c r="E141" s="3" t="s">
        <v>274</v>
      </c>
      <c r="F141" s="3" t="s">
        <v>327</v>
      </c>
      <c r="G141" s="3" t="s">
        <v>328</v>
      </c>
    </row>
    <row r="142" spans="1:7" s="18" customFormat="1" ht="28.5" customHeight="1" x14ac:dyDescent="0.2">
      <c r="A142" s="6"/>
      <c r="C142" s="3"/>
      <c r="D142" s="6"/>
      <c r="E142" s="6"/>
      <c r="F142" s="3"/>
      <c r="G142" s="3"/>
    </row>
    <row r="143" spans="1:7" ht="230" customHeight="1" x14ac:dyDescent="0.25">
      <c r="A143" s="5" t="s">
        <v>329</v>
      </c>
      <c r="B143" s="44"/>
      <c r="C143" s="91"/>
      <c r="D143" s="91"/>
      <c r="E143" s="44"/>
      <c r="F143" s="60"/>
      <c r="G143" s="91" t="s">
        <v>330</v>
      </c>
    </row>
    <row r="144" spans="1:7" ht="230" customHeight="1" x14ac:dyDescent="0.2">
      <c r="B144" s="18"/>
      <c r="C144" s="3" t="s">
        <v>331</v>
      </c>
      <c r="D144" s="3" t="s">
        <v>174</v>
      </c>
      <c r="E144" s="3" t="s">
        <v>332</v>
      </c>
      <c r="F144" s="7" t="s">
        <v>333</v>
      </c>
      <c r="G144" s="3" t="s">
        <v>334</v>
      </c>
    </row>
    <row r="145" spans="1:10" ht="230" customHeight="1" x14ac:dyDescent="0.2">
      <c r="B145" s="90"/>
      <c r="C145" s="3" t="s">
        <v>335</v>
      </c>
      <c r="D145" s="3" t="s">
        <v>174</v>
      </c>
      <c r="E145" s="3" t="s">
        <v>336</v>
      </c>
      <c r="F145" s="7"/>
      <c r="G145" s="3" t="s">
        <v>337</v>
      </c>
    </row>
    <row r="146" spans="1:10" ht="230" customHeight="1" x14ac:dyDescent="0.25">
      <c r="A146" s="5" t="s">
        <v>338</v>
      </c>
      <c r="B146" s="44"/>
      <c r="C146" s="91"/>
      <c r="D146" s="44"/>
      <c r="E146" s="91"/>
      <c r="F146" s="91"/>
      <c r="G146" s="45"/>
    </row>
    <row r="147" spans="1:10" s="18" customFormat="1" ht="97" x14ac:dyDescent="0.25">
      <c r="A147" s="67"/>
      <c r="B147" s="6"/>
      <c r="C147" s="6" t="s">
        <v>339</v>
      </c>
      <c r="D147" s="6" t="s">
        <v>46</v>
      </c>
      <c r="E147" s="3" t="s">
        <v>340</v>
      </c>
      <c r="F147" s="90" t="s">
        <v>341</v>
      </c>
      <c r="G147" s="47" t="s">
        <v>342</v>
      </c>
    </row>
    <row r="148" spans="1:10" s="18" customFormat="1" ht="113" x14ac:dyDescent="0.25">
      <c r="A148" s="67"/>
      <c r="B148" s="6"/>
      <c r="C148" s="3" t="s">
        <v>343</v>
      </c>
      <c r="D148" s="6" t="s">
        <v>46</v>
      </c>
      <c r="E148" s="3" t="s">
        <v>344</v>
      </c>
      <c r="F148" s="90" t="s">
        <v>345</v>
      </c>
      <c r="G148" s="68"/>
    </row>
    <row r="149" spans="1:10" ht="97" x14ac:dyDescent="0.25">
      <c r="A149" s="67"/>
      <c r="B149" s="6"/>
      <c r="C149" s="3" t="s">
        <v>346</v>
      </c>
      <c r="D149" s="6" t="s">
        <v>46</v>
      </c>
      <c r="E149" s="3" t="s">
        <v>347</v>
      </c>
      <c r="F149" s="90" t="s">
        <v>348</v>
      </c>
      <c r="G149" s="68"/>
    </row>
    <row r="150" spans="1:10" ht="161" x14ac:dyDescent="0.25">
      <c r="A150" s="67"/>
      <c r="B150" s="6"/>
      <c r="C150" s="3" t="s">
        <v>349</v>
      </c>
      <c r="D150" s="6" t="s">
        <v>46</v>
      </c>
      <c r="E150" s="3" t="s">
        <v>350</v>
      </c>
      <c r="F150" s="90" t="s">
        <v>351</v>
      </c>
      <c r="G150" s="68"/>
    </row>
    <row r="151" spans="1:10" ht="19" x14ac:dyDescent="0.25">
      <c r="A151" s="5" t="s">
        <v>352</v>
      </c>
      <c r="B151" s="91"/>
      <c r="C151" s="91"/>
      <c r="D151" s="91"/>
      <c r="E151" s="91"/>
      <c r="F151" s="60"/>
      <c r="G151" s="91"/>
    </row>
    <row r="152" spans="1:10" ht="64" x14ac:dyDescent="0.2">
      <c r="C152" s="3" t="s">
        <v>352</v>
      </c>
      <c r="D152" s="3" t="s">
        <v>174</v>
      </c>
      <c r="E152" s="3" t="s">
        <v>353</v>
      </c>
      <c r="F152" s="7" t="s">
        <v>354</v>
      </c>
      <c r="G152" s="3" t="s">
        <v>355</v>
      </c>
      <c r="H152" s="90"/>
      <c r="I152" s="3"/>
      <c r="J152" s="3"/>
    </row>
    <row r="153" spans="1:10" x14ac:dyDescent="0.2">
      <c r="B153" s="61"/>
      <c r="D153" s="3"/>
      <c r="E153" s="6"/>
      <c r="F153" s="7"/>
      <c r="H153" s="90"/>
      <c r="I153" s="3"/>
      <c r="J153" s="3"/>
    </row>
    <row r="154" spans="1:10" ht="97" x14ac:dyDescent="0.25">
      <c r="A154" s="69" t="s">
        <v>356</v>
      </c>
      <c r="C154" s="91"/>
      <c r="D154" s="44"/>
      <c r="E154" s="91"/>
      <c r="F154" s="91"/>
      <c r="G154" s="91" t="s">
        <v>357</v>
      </c>
      <c r="H154" s="90"/>
      <c r="I154" s="3"/>
      <c r="J154" s="3"/>
    </row>
    <row r="155" spans="1:10" ht="97" x14ac:dyDescent="0.25">
      <c r="A155" s="46"/>
      <c r="C155" s="90" t="s">
        <v>358</v>
      </c>
      <c r="D155" s="18" t="s">
        <v>46</v>
      </c>
      <c r="E155" s="90" t="s">
        <v>359</v>
      </c>
      <c r="F155" s="90"/>
      <c r="G155" s="90" t="s">
        <v>360</v>
      </c>
    </row>
    <row r="156" spans="1:10" s="18" customFormat="1" ht="80" x14ac:dyDescent="0.2">
      <c r="A156" s="6"/>
      <c r="B156" s="3"/>
      <c r="C156" s="90" t="s">
        <v>361</v>
      </c>
      <c r="D156" s="6" t="s">
        <v>46</v>
      </c>
      <c r="E156" s="90" t="s">
        <v>362</v>
      </c>
      <c r="F156" s="90"/>
      <c r="G156" s="3" t="s">
        <v>363</v>
      </c>
    </row>
    <row r="157" spans="1:10" ht="80" x14ac:dyDescent="0.2">
      <c r="C157" s="90" t="s">
        <v>364</v>
      </c>
      <c r="D157" s="6" t="s">
        <v>46</v>
      </c>
      <c r="E157" s="90" t="s">
        <v>362</v>
      </c>
      <c r="F157" s="90"/>
      <c r="G157" s="3" t="s">
        <v>365</v>
      </c>
    </row>
    <row r="158" spans="1:10" ht="80" x14ac:dyDescent="0.2">
      <c r="B158" s="90"/>
      <c r="C158" s="90" t="s">
        <v>366</v>
      </c>
      <c r="D158" s="6" t="s">
        <v>46</v>
      </c>
      <c r="E158" s="90" t="s">
        <v>362</v>
      </c>
      <c r="F158" s="90"/>
      <c r="G158" s="3" t="s">
        <v>367</v>
      </c>
    </row>
    <row r="159" spans="1:10" s="72" customFormat="1" ht="80" x14ac:dyDescent="0.2">
      <c r="A159" s="6"/>
      <c r="B159" s="90"/>
      <c r="C159" s="90" t="s">
        <v>368</v>
      </c>
      <c r="D159" s="6" t="s">
        <v>46</v>
      </c>
      <c r="E159" s="90" t="s">
        <v>362</v>
      </c>
      <c r="F159" s="90"/>
      <c r="G159" s="3" t="s">
        <v>369</v>
      </c>
    </row>
    <row r="160" spans="1:10" ht="80" x14ac:dyDescent="0.2">
      <c r="A160" s="18"/>
      <c r="B160" s="90"/>
      <c r="C160" s="90" t="s">
        <v>370</v>
      </c>
      <c r="D160" s="18" t="s">
        <v>46</v>
      </c>
      <c r="E160" s="90" t="s">
        <v>362</v>
      </c>
      <c r="F160" s="90"/>
      <c r="G160" s="90" t="s">
        <v>371</v>
      </c>
    </row>
    <row r="161" spans="1:8" ht="96" x14ac:dyDescent="0.2">
      <c r="C161" s="90" t="s">
        <v>372</v>
      </c>
      <c r="D161" s="6" t="s">
        <v>52</v>
      </c>
      <c r="E161" s="3" t="s">
        <v>373</v>
      </c>
      <c r="F161" s="90"/>
      <c r="G161" s="90" t="s">
        <v>374</v>
      </c>
    </row>
    <row r="162" spans="1:8" x14ac:dyDescent="0.2">
      <c r="C162" s="90"/>
      <c r="F162" s="90"/>
      <c r="G162" s="90"/>
    </row>
    <row r="163" spans="1:8" s="18" customFormat="1" ht="81" x14ac:dyDescent="0.25">
      <c r="A163" s="5" t="s">
        <v>375</v>
      </c>
      <c r="B163" s="70"/>
      <c r="C163" s="70"/>
      <c r="D163" s="71"/>
      <c r="E163" s="70"/>
      <c r="F163" s="70"/>
      <c r="G163" s="91" t="s">
        <v>376</v>
      </c>
    </row>
    <row r="164" spans="1:8" s="18" customFormat="1" ht="90" customHeight="1" x14ac:dyDescent="0.2">
      <c r="A164" s="6"/>
      <c r="B164" s="3"/>
      <c r="C164" s="90" t="s">
        <v>377</v>
      </c>
      <c r="D164" s="6" t="s">
        <v>46</v>
      </c>
      <c r="E164" s="3" t="s">
        <v>2216</v>
      </c>
      <c r="F164" s="90" t="s">
        <v>378</v>
      </c>
      <c r="G164" s="90" t="s">
        <v>379</v>
      </c>
    </row>
    <row r="165" spans="1:8" s="78" customFormat="1" ht="90" customHeight="1" x14ac:dyDescent="0.25">
      <c r="A165" s="74" t="s">
        <v>380</v>
      </c>
      <c r="B165" s="75"/>
      <c r="C165" s="75"/>
      <c r="D165" s="79"/>
      <c r="E165" s="75"/>
      <c r="F165" s="75"/>
      <c r="G165" s="75" t="s">
        <v>381</v>
      </c>
    </row>
    <row r="166" spans="1:8" s="78" customFormat="1" ht="90" customHeight="1" x14ac:dyDescent="0.2">
      <c r="A166" s="76"/>
      <c r="B166" s="85"/>
      <c r="C166" s="109" t="s">
        <v>382</v>
      </c>
      <c r="D166" s="110" t="s">
        <v>174</v>
      </c>
      <c r="E166" s="109" t="s">
        <v>383</v>
      </c>
      <c r="F166" s="109" t="s">
        <v>384</v>
      </c>
      <c r="G166" s="109" t="s">
        <v>385</v>
      </c>
    </row>
    <row r="167" spans="1:8" s="78" customFormat="1" ht="144" x14ac:dyDescent="0.2">
      <c r="A167" s="76"/>
      <c r="B167" s="85"/>
      <c r="C167" s="109" t="s">
        <v>386</v>
      </c>
      <c r="D167" s="110" t="s">
        <v>174</v>
      </c>
      <c r="E167" s="109" t="s">
        <v>387</v>
      </c>
      <c r="F167" s="109" t="s">
        <v>388</v>
      </c>
      <c r="G167" s="109" t="s">
        <v>389</v>
      </c>
    </row>
    <row r="168" spans="1:8" x14ac:dyDescent="0.2">
      <c r="C168" s="90"/>
      <c r="F168" s="90"/>
      <c r="G168" s="90"/>
    </row>
    <row r="169" spans="1:8" ht="161" x14ac:dyDescent="0.25">
      <c r="A169" s="5" t="s">
        <v>390</v>
      </c>
      <c r="B169" s="91"/>
      <c r="C169" s="91"/>
      <c r="D169" s="44"/>
      <c r="E169" s="91"/>
      <c r="F169" s="91"/>
      <c r="G169" s="91" t="s">
        <v>391</v>
      </c>
    </row>
    <row r="170" spans="1:8" ht="64" x14ac:dyDescent="0.2">
      <c r="A170" s="18"/>
      <c r="B170" s="90"/>
      <c r="C170" s="47" t="s">
        <v>392</v>
      </c>
      <c r="D170" s="47" t="s">
        <v>61</v>
      </c>
      <c r="E170" s="47" t="s">
        <v>393</v>
      </c>
      <c r="F170" s="47" t="s">
        <v>394</v>
      </c>
      <c r="G170" s="47" t="s">
        <v>395</v>
      </c>
    </row>
    <row r="171" spans="1:8" ht="48" x14ac:dyDescent="0.2">
      <c r="A171" s="18"/>
      <c r="B171" s="90"/>
      <c r="C171" s="47" t="s">
        <v>396</v>
      </c>
      <c r="D171" s="47" t="s">
        <v>61</v>
      </c>
      <c r="E171" s="47" t="s">
        <v>397</v>
      </c>
      <c r="F171" s="47" t="s">
        <v>394</v>
      </c>
      <c r="G171" s="47" t="s">
        <v>398</v>
      </c>
    </row>
    <row r="172" spans="1:8" x14ac:dyDescent="0.2">
      <c r="B172" s="90"/>
      <c r="C172" s="47"/>
      <c r="D172" s="47"/>
      <c r="E172" s="47"/>
      <c r="F172" s="47"/>
      <c r="G172" s="47"/>
    </row>
    <row r="173" spans="1:8" ht="230" customHeight="1" x14ac:dyDescent="0.25">
      <c r="A173" s="5" t="s">
        <v>399</v>
      </c>
      <c r="B173" s="91"/>
      <c r="C173" s="91"/>
      <c r="D173" s="44"/>
      <c r="E173" s="91"/>
      <c r="F173" s="91" t="s">
        <v>400</v>
      </c>
      <c r="G173" s="91" t="s">
        <v>401</v>
      </c>
    </row>
    <row r="174" spans="1:8" s="18" customFormat="1" ht="100" customHeight="1" x14ac:dyDescent="0.2">
      <c r="A174" s="6"/>
      <c r="B174" s="3"/>
      <c r="C174" s="3" t="s">
        <v>402</v>
      </c>
      <c r="D174" s="6" t="s">
        <v>46</v>
      </c>
      <c r="E174" s="3" t="s">
        <v>2217</v>
      </c>
      <c r="F174" s="3" t="s">
        <v>403</v>
      </c>
      <c r="G174" s="3" t="s">
        <v>404</v>
      </c>
    </row>
    <row r="175" spans="1:8" s="18" customFormat="1" ht="409" customHeight="1" x14ac:dyDescent="0.2">
      <c r="A175" s="6"/>
      <c r="B175" s="6" t="s">
        <v>405</v>
      </c>
      <c r="C175" s="3" t="s">
        <v>406</v>
      </c>
      <c r="D175" s="6" t="s">
        <v>61</v>
      </c>
      <c r="E175" s="108" t="s">
        <v>2218</v>
      </c>
      <c r="F175" s="3" t="s">
        <v>407</v>
      </c>
      <c r="G175" s="3" t="s">
        <v>408</v>
      </c>
    </row>
    <row r="176" spans="1:8" s="107" customFormat="1" ht="272" x14ac:dyDescent="0.2">
      <c r="A176" s="106"/>
      <c r="B176" s="106"/>
      <c r="C176" s="47" t="s">
        <v>409</v>
      </c>
      <c r="D176" s="106" t="s">
        <v>61</v>
      </c>
      <c r="E176" s="47" t="s">
        <v>2219</v>
      </c>
      <c r="F176" s="47" t="s">
        <v>410</v>
      </c>
      <c r="G176" s="68"/>
      <c r="H176" s="106"/>
    </row>
    <row r="177" spans="1:7" ht="80" x14ac:dyDescent="0.2">
      <c r="B177" s="6"/>
      <c r="C177" s="3" t="s">
        <v>411</v>
      </c>
      <c r="D177" s="6" t="s">
        <v>46</v>
      </c>
      <c r="E177" s="3" t="s">
        <v>2220</v>
      </c>
      <c r="F177" s="90"/>
      <c r="G177" s="68" t="s">
        <v>412</v>
      </c>
    </row>
    <row r="178" spans="1:7" ht="33" x14ac:dyDescent="0.25">
      <c r="A178" s="5" t="s">
        <v>413</v>
      </c>
      <c r="B178" s="44"/>
      <c r="C178" s="91"/>
      <c r="D178" s="91"/>
      <c r="E178" s="44"/>
      <c r="F178" s="91"/>
      <c r="G178" s="91" t="s">
        <v>414</v>
      </c>
    </row>
    <row r="179" spans="1:7" ht="16" x14ac:dyDescent="0.2">
      <c r="A179" s="18"/>
      <c r="B179" s="6"/>
      <c r="C179" s="3" t="s">
        <v>415</v>
      </c>
      <c r="D179" s="3" t="s">
        <v>274</v>
      </c>
      <c r="E179" s="3" t="s">
        <v>416</v>
      </c>
      <c r="F179" s="7"/>
      <c r="G179" s="90" t="s">
        <v>417</v>
      </c>
    </row>
    <row r="180" spans="1:7" ht="16" x14ac:dyDescent="0.2">
      <c r="B180" s="6"/>
      <c r="C180" s="3" t="s">
        <v>418</v>
      </c>
      <c r="D180" s="3" t="s">
        <v>274</v>
      </c>
      <c r="E180" s="6" t="s">
        <v>416</v>
      </c>
      <c r="F180" s="7"/>
      <c r="G180" s="90"/>
    </row>
    <row r="181" spans="1:7" ht="16" x14ac:dyDescent="0.2">
      <c r="B181" s="6"/>
      <c r="C181" s="3" t="s">
        <v>419</v>
      </c>
      <c r="D181" s="3" t="s">
        <v>274</v>
      </c>
      <c r="E181" s="6" t="s">
        <v>416</v>
      </c>
      <c r="F181" s="7"/>
      <c r="G181" s="90"/>
    </row>
    <row r="182" spans="1:7" ht="32" x14ac:dyDescent="0.2">
      <c r="B182" s="6"/>
      <c r="C182" s="3" t="s">
        <v>420</v>
      </c>
      <c r="D182" s="3" t="s">
        <v>274</v>
      </c>
      <c r="E182" s="6" t="s">
        <v>416</v>
      </c>
      <c r="F182" s="7"/>
      <c r="G182" s="90" t="s">
        <v>421</v>
      </c>
    </row>
    <row r="183" spans="1:7" ht="16" x14ac:dyDescent="0.2">
      <c r="B183" s="6"/>
      <c r="C183" s="3" t="s">
        <v>422</v>
      </c>
      <c r="D183" s="3" t="s">
        <v>274</v>
      </c>
      <c r="E183" s="6" t="s">
        <v>416</v>
      </c>
      <c r="F183" s="7"/>
      <c r="G183" s="90"/>
    </row>
    <row r="184" spans="1:7" ht="16" x14ac:dyDescent="0.2">
      <c r="B184" s="6"/>
      <c r="C184" s="3" t="s">
        <v>423</v>
      </c>
      <c r="D184" s="3" t="s">
        <v>274</v>
      </c>
      <c r="E184" s="6" t="s">
        <v>416</v>
      </c>
      <c r="F184" s="7"/>
      <c r="G184" s="90"/>
    </row>
    <row r="185" spans="1:7" ht="16" x14ac:dyDescent="0.2">
      <c r="B185" s="6"/>
      <c r="C185" s="3" t="s">
        <v>424</v>
      </c>
      <c r="D185" s="3" t="s">
        <v>274</v>
      </c>
      <c r="E185" s="6" t="s">
        <v>416</v>
      </c>
      <c r="F185" s="7" t="s">
        <v>425</v>
      </c>
      <c r="G185" s="90"/>
    </row>
    <row r="186" spans="1:7" ht="16" x14ac:dyDescent="0.2">
      <c r="B186" s="6"/>
      <c r="C186" s="3" t="s">
        <v>426</v>
      </c>
      <c r="D186" s="3" t="s">
        <v>274</v>
      </c>
      <c r="E186" s="6" t="s">
        <v>416</v>
      </c>
      <c r="F186" s="7" t="s">
        <v>427</v>
      </c>
      <c r="G186" s="90"/>
    </row>
    <row r="187" spans="1:7" ht="16" x14ac:dyDescent="0.2">
      <c r="B187" s="18"/>
      <c r="C187" s="3" t="s">
        <v>428</v>
      </c>
      <c r="D187" s="3" t="s">
        <v>274</v>
      </c>
      <c r="E187" s="6" t="s">
        <v>416</v>
      </c>
      <c r="F187" s="7" t="s">
        <v>429</v>
      </c>
      <c r="G187" s="90"/>
    </row>
    <row r="188" spans="1:7" s="18" customFormat="1" ht="16" x14ac:dyDescent="0.2">
      <c r="A188" s="6"/>
      <c r="B188" s="90"/>
      <c r="C188" s="3" t="s">
        <v>430</v>
      </c>
      <c r="D188" s="3" t="s">
        <v>274</v>
      </c>
      <c r="E188" s="6" t="s">
        <v>416</v>
      </c>
      <c r="F188" s="7" t="s">
        <v>431</v>
      </c>
      <c r="G188" s="90"/>
    </row>
    <row r="189" spans="1:7" s="18" customFormat="1" ht="16" x14ac:dyDescent="0.2">
      <c r="A189" s="6"/>
      <c r="B189" s="90"/>
      <c r="C189" s="90" t="s">
        <v>432</v>
      </c>
      <c r="D189" s="90" t="s">
        <v>274</v>
      </c>
      <c r="E189" s="18" t="s">
        <v>416</v>
      </c>
      <c r="F189" s="7" t="s">
        <v>433</v>
      </c>
      <c r="G189" s="90"/>
    </row>
    <row r="190" spans="1:7" ht="16" x14ac:dyDescent="0.2">
      <c r="A190" s="18"/>
      <c r="C190" s="3" t="s">
        <v>434</v>
      </c>
      <c r="D190" s="3" t="s">
        <v>274</v>
      </c>
      <c r="E190" s="6"/>
      <c r="F190" s="7" t="s">
        <v>435</v>
      </c>
      <c r="G190" s="90"/>
    </row>
    <row r="191" spans="1:7" x14ac:dyDescent="0.2">
      <c r="B191" s="90"/>
      <c r="D191" s="3"/>
      <c r="E191" s="6"/>
      <c r="F191" s="7"/>
      <c r="G191" s="90"/>
    </row>
    <row r="192" spans="1:7" x14ac:dyDescent="0.2">
      <c r="A192" s="18"/>
      <c r="B192" s="90"/>
      <c r="C192" s="90"/>
      <c r="D192" s="18"/>
      <c r="E192" s="90"/>
      <c r="F192" s="90"/>
      <c r="G192" s="90"/>
    </row>
    <row r="193" spans="1:8" ht="65" x14ac:dyDescent="0.25">
      <c r="A193" s="46" t="s">
        <v>436</v>
      </c>
      <c r="B193" s="90"/>
      <c r="C193" s="47" t="s">
        <v>437</v>
      </c>
      <c r="D193" s="18" t="s">
        <v>46</v>
      </c>
      <c r="E193" s="90" t="s">
        <v>2221</v>
      </c>
      <c r="F193" s="90" t="s">
        <v>438</v>
      </c>
      <c r="G193" s="90"/>
    </row>
    <row r="194" spans="1:8" s="18" customFormat="1" ht="64" x14ac:dyDescent="0.2">
      <c r="A194" s="6"/>
      <c r="C194" s="47" t="s">
        <v>439</v>
      </c>
      <c r="D194" s="18" t="s">
        <v>156</v>
      </c>
      <c r="E194" s="101" t="s">
        <v>2221</v>
      </c>
      <c r="F194" s="90" t="s">
        <v>440</v>
      </c>
      <c r="G194" s="3"/>
    </row>
    <row r="195" spans="1:8" s="18" customFormat="1" ht="64" x14ac:dyDescent="0.2">
      <c r="B195" s="6"/>
      <c r="C195" s="62" t="s">
        <v>441</v>
      </c>
      <c r="D195" s="6" t="s">
        <v>156</v>
      </c>
      <c r="E195" s="101" t="s">
        <v>2221</v>
      </c>
      <c r="F195" s="90" t="s">
        <v>442</v>
      </c>
      <c r="G195" s="3"/>
    </row>
    <row r="196" spans="1:8" ht="64" x14ac:dyDescent="0.2">
      <c r="C196" s="62" t="s">
        <v>443</v>
      </c>
      <c r="D196" s="6" t="s">
        <v>156</v>
      </c>
      <c r="E196" s="101" t="s">
        <v>2221</v>
      </c>
      <c r="F196" s="90" t="s">
        <v>444</v>
      </c>
      <c r="G196" s="91" t="s">
        <v>445</v>
      </c>
    </row>
    <row r="197" spans="1:8" ht="16" x14ac:dyDescent="0.2">
      <c r="B197" s="90"/>
      <c r="C197" s="73"/>
      <c r="F197" s="90"/>
      <c r="G197" s="3" t="s">
        <v>446</v>
      </c>
    </row>
    <row r="198" spans="1:8" s="18" customFormat="1" x14ac:dyDescent="0.2">
      <c r="A198" s="6"/>
      <c r="B198" s="91"/>
      <c r="C198" s="91"/>
      <c r="D198" s="44"/>
      <c r="E198" s="91"/>
      <c r="F198" s="91"/>
      <c r="G198" s="90"/>
    </row>
    <row r="199" spans="1:8" s="18" customFormat="1" ht="81" x14ac:dyDescent="0.25">
      <c r="A199" s="5" t="s">
        <v>447</v>
      </c>
      <c r="B199" s="90"/>
      <c r="C199" s="90" t="s">
        <v>448</v>
      </c>
      <c r="D199" s="6" t="s">
        <v>156</v>
      </c>
      <c r="E199" s="90" t="s">
        <v>362</v>
      </c>
      <c r="F199" s="90"/>
      <c r="G199" s="3"/>
    </row>
    <row r="200" spans="1:8" s="18" customFormat="1" ht="80" x14ac:dyDescent="0.2">
      <c r="A200" s="6"/>
      <c r="B200" s="3"/>
      <c r="C200" s="90" t="s">
        <v>449</v>
      </c>
      <c r="D200" s="6" t="s">
        <v>156</v>
      </c>
      <c r="E200" s="90" t="s">
        <v>362</v>
      </c>
      <c r="F200" s="90"/>
      <c r="G200" s="3"/>
    </row>
    <row r="201" spans="1:8" x14ac:dyDescent="0.2">
      <c r="C201" s="90"/>
      <c r="E201" s="90"/>
      <c r="F201" s="90"/>
    </row>
    <row r="202" spans="1:8" x14ac:dyDescent="0.2">
      <c r="A202" s="18"/>
      <c r="B202" s="90"/>
      <c r="C202" s="90"/>
      <c r="D202" s="18"/>
      <c r="E202" s="90"/>
      <c r="F202" s="90"/>
      <c r="G202" s="90"/>
    </row>
    <row r="203" spans="1:8" s="18" customFormat="1" ht="81" x14ac:dyDescent="0.25">
      <c r="A203" s="74" t="s">
        <v>450</v>
      </c>
      <c r="B203" s="91"/>
      <c r="C203" s="91"/>
      <c r="D203" s="44"/>
      <c r="E203" s="91"/>
      <c r="F203" s="91"/>
      <c r="G203" s="91" t="s">
        <v>451</v>
      </c>
    </row>
    <row r="204" spans="1:8" ht="80" x14ac:dyDescent="0.2">
      <c r="A204" s="18"/>
      <c r="B204" s="90"/>
      <c r="C204" s="90" t="s">
        <v>452</v>
      </c>
      <c r="D204" s="18" t="s">
        <v>46</v>
      </c>
      <c r="E204" s="90" t="s">
        <v>2222</v>
      </c>
      <c r="F204" s="90" t="s">
        <v>453</v>
      </c>
      <c r="G204" s="90" t="s">
        <v>454</v>
      </c>
    </row>
    <row r="205" spans="1:8" s="76" customFormat="1" ht="160" x14ac:dyDescent="0.2">
      <c r="A205" s="6"/>
      <c r="B205" s="3"/>
      <c r="C205" s="90" t="s">
        <v>455</v>
      </c>
      <c r="D205" s="6" t="s">
        <v>46</v>
      </c>
      <c r="E205" s="90" t="s">
        <v>2223</v>
      </c>
      <c r="F205" s="90" t="s">
        <v>456</v>
      </c>
      <c r="G205" s="3" t="s">
        <v>457</v>
      </c>
      <c r="H205" s="78"/>
    </row>
    <row r="206" spans="1:8" s="76" customFormat="1" ht="80" x14ac:dyDescent="0.2">
      <c r="A206" s="6"/>
      <c r="B206" s="3"/>
      <c r="C206" s="90" t="s">
        <v>458</v>
      </c>
      <c r="D206" s="6" t="s">
        <v>156</v>
      </c>
      <c r="E206" s="90" t="s">
        <v>2222</v>
      </c>
      <c r="F206" s="90" t="s">
        <v>459</v>
      </c>
      <c r="G206" s="3"/>
      <c r="H206" s="78"/>
    </row>
    <row r="207" spans="1:8" s="76" customFormat="1" ht="112" x14ac:dyDescent="0.2">
      <c r="A207" s="18"/>
      <c r="B207" s="90"/>
      <c r="C207" s="90" t="s">
        <v>460</v>
      </c>
      <c r="D207" s="18" t="s">
        <v>156</v>
      </c>
      <c r="E207" s="101" t="s">
        <v>2222</v>
      </c>
      <c r="F207" s="90" t="s">
        <v>461</v>
      </c>
      <c r="G207" s="90" t="s">
        <v>462</v>
      </c>
      <c r="H207" s="78"/>
    </row>
    <row r="208" spans="1:8" s="76" customFormat="1" x14ac:dyDescent="0.2">
      <c r="A208" s="6"/>
      <c r="B208" s="3"/>
      <c r="C208" s="90"/>
      <c r="D208" s="6"/>
      <c r="E208" s="90"/>
      <c r="F208" s="90"/>
      <c r="G208" s="3"/>
      <c r="H208" s="78"/>
    </row>
    <row r="209" spans="1:8" s="76" customFormat="1" ht="19" x14ac:dyDescent="0.25">
      <c r="A209" s="74" t="s">
        <v>463</v>
      </c>
      <c r="B209" s="75"/>
      <c r="C209" s="75"/>
      <c r="D209" s="79"/>
      <c r="E209" s="75"/>
      <c r="F209" s="75"/>
      <c r="G209" s="75" t="s">
        <v>464</v>
      </c>
      <c r="H209" s="78"/>
    </row>
    <row r="210" spans="1:8" s="76" customFormat="1" ht="65" x14ac:dyDescent="0.25">
      <c r="A210" s="80"/>
      <c r="B210" s="81"/>
      <c r="C210" s="81" t="s">
        <v>465</v>
      </c>
      <c r="D210" s="78" t="s">
        <v>156</v>
      </c>
      <c r="E210" s="81" t="s">
        <v>2224</v>
      </c>
      <c r="F210" s="81" t="s">
        <v>466</v>
      </c>
      <c r="G210" s="81"/>
      <c r="H210" s="78"/>
    </row>
    <row r="211" spans="1:8" s="76" customFormat="1" ht="65" x14ac:dyDescent="0.25">
      <c r="A211" s="80"/>
      <c r="B211" s="81"/>
      <c r="C211" s="81" t="s">
        <v>467</v>
      </c>
      <c r="D211" s="78" t="s">
        <v>156</v>
      </c>
      <c r="E211" s="81" t="s">
        <v>2224</v>
      </c>
      <c r="F211" s="81" t="s">
        <v>468</v>
      </c>
      <c r="G211" s="81"/>
      <c r="H211" s="78"/>
    </row>
    <row r="212" spans="1:8" s="76" customFormat="1" ht="65" x14ac:dyDescent="0.25">
      <c r="A212" s="80"/>
      <c r="B212" s="81"/>
      <c r="C212" s="81" t="s">
        <v>469</v>
      </c>
      <c r="D212" s="78" t="s">
        <v>156</v>
      </c>
      <c r="E212" s="81" t="s">
        <v>2224</v>
      </c>
      <c r="F212" s="81" t="s">
        <v>470</v>
      </c>
      <c r="G212" s="81"/>
      <c r="H212" s="78"/>
    </row>
    <row r="213" spans="1:8" s="78" customFormat="1" ht="65" x14ac:dyDescent="0.25">
      <c r="A213" s="80"/>
      <c r="B213" s="81"/>
      <c r="C213" s="81" t="s">
        <v>471</v>
      </c>
      <c r="D213" s="78" t="s">
        <v>156</v>
      </c>
      <c r="E213" s="81" t="s">
        <v>2224</v>
      </c>
      <c r="F213" s="81" t="s">
        <v>472</v>
      </c>
      <c r="G213" s="81"/>
    </row>
    <row r="214" spans="1:8" s="78" customFormat="1" ht="65" x14ac:dyDescent="0.25">
      <c r="A214" s="80"/>
      <c r="B214" s="81"/>
      <c r="C214" s="81" t="s">
        <v>473</v>
      </c>
      <c r="D214" s="78" t="s">
        <v>156</v>
      </c>
      <c r="E214" s="81" t="s">
        <v>2224</v>
      </c>
      <c r="F214" s="81" t="s">
        <v>474</v>
      </c>
      <c r="G214" s="81"/>
    </row>
    <row r="215" spans="1:8" s="78" customFormat="1" ht="65" x14ac:dyDescent="0.25">
      <c r="A215" s="80"/>
      <c r="B215" s="81"/>
      <c r="C215" s="81" t="s">
        <v>475</v>
      </c>
      <c r="D215" s="78" t="s">
        <v>156</v>
      </c>
      <c r="E215" s="81" t="s">
        <v>2224</v>
      </c>
      <c r="F215" s="81" t="s">
        <v>476</v>
      </c>
      <c r="G215" s="81"/>
    </row>
    <row r="216" spans="1:8" s="78" customFormat="1" ht="65" x14ac:dyDescent="0.25">
      <c r="A216" s="80"/>
      <c r="B216" s="81"/>
      <c r="C216" s="81" t="s">
        <v>477</v>
      </c>
      <c r="D216" s="78" t="s">
        <v>156</v>
      </c>
      <c r="E216" s="81" t="s">
        <v>2224</v>
      </c>
      <c r="F216" s="81" t="s">
        <v>478</v>
      </c>
      <c r="G216" s="81"/>
    </row>
    <row r="217" spans="1:8" s="78" customFormat="1" ht="65" x14ac:dyDescent="0.25">
      <c r="A217" s="80"/>
      <c r="B217" s="81"/>
      <c r="C217" s="81" t="s">
        <v>479</v>
      </c>
      <c r="D217" s="78" t="s">
        <v>156</v>
      </c>
      <c r="E217" s="81" t="s">
        <v>2224</v>
      </c>
      <c r="F217" s="81" t="s">
        <v>480</v>
      </c>
      <c r="G217" s="81"/>
    </row>
    <row r="218" spans="1:8" s="78" customFormat="1" ht="65" x14ac:dyDescent="0.25">
      <c r="A218" s="80"/>
      <c r="B218" s="81"/>
      <c r="C218" s="81" t="s">
        <v>481</v>
      </c>
      <c r="D218" s="78" t="s">
        <v>156</v>
      </c>
      <c r="E218" s="81" t="s">
        <v>2224</v>
      </c>
      <c r="F218" s="81" t="s">
        <v>482</v>
      </c>
      <c r="G218" s="81"/>
    </row>
    <row r="219" spans="1:8" s="18" customFormat="1" ht="65" x14ac:dyDescent="0.25">
      <c r="A219" s="80"/>
      <c r="B219" s="81"/>
      <c r="C219" s="81" t="s">
        <v>483</v>
      </c>
      <c r="D219" s="78" t="s">
        <v>156</v>
      </c>
      <c r="E219" s="81" t="s">
        <v>2224</v>
      </c>
      <c r="F219" s="81" t="s">
        <v>484</v>
      </c>
      <c r="G219" s="81"/>
    </row>
    <row r="220" spans="1:8" ht="64" x14ac:dyDescent="0.2">
      <c r="A220" s="78"/>
      <c r="B220" s="81"/>
      <c r="C220" s="81" t="s">
        <v>485</v>
      </c>
      <c r="D220" s="78" t="s">
        <v>156</v>
      </c>
      <c r="E220" s="81" t="s">
        <v>2224</v>
      </c>
      <c r="F220" s="81" t="s">
        <v>486</v>
      </c>
      <c r="G220" s="81"/>
    </row>
    <row r="221" spans="1:8" ht="64" x14ac:dyDescent="0.2">
      <c r="A221" s="78"/>
      <c r="B221" s="81"/>
      <c r="C221" s="81" t="s">
        <v>487</v>
      </c>
      <c r="D221" s="78" t="s">
        <v>156</v>
      </c>
      <c r="E221" s="81" t="s">
        <v>2224</v>
      </c>
      <c r="F221" s="81" t="s">
        <v>488</v>
      </c>
      <c r="G221" s="81"/>
    </row>
    <row r="222" spans="1:8" ht="64" x14ac:dyDescent="0.2">
      <c r="A222" s="78"/>
      <c r="B222" s="81"/>
      <c r="C222" s="81" t="s">
        <v>489</v>
      </c>
      <c r="D222" s="78" t="s">
        <v>156</v>
      </c>
      <c r="E222" s="81" t="s">
        <v>2224</v>
      </c>
      <c r="F222" s="81" t="s">
        <v>490</v>
      </c>
      <c r="G222" s="81"/>
    </row>
    <row r="223" spans="1:8" s="18" customFormat="1" x14ac:dyDescent="0.2">
      <c r="B223" s="90"/>
      <c r="C223" s="90"/>
      <c r="E223" s="90"/>
      <c r="F223" s="90"/>
    </row>
    <row r="224" spans="1:8" ht="81" x14ac:dyDescent="0.25">
      <c r="A224" s="74" t="s">
        <v>491</v>
      </c>
      <c r="B224" s="91"/>
      <c r="C224" s="91" t="s">
        <v>492</v>
      </c>
      <c r="D224" s="44" t="s">
        <v>46</v>
      </c>
      <c r="E224" s="91" t="s">
        <v>2225</v>
      </c>
      <c r="F224" s="91" t="s">
        <v>493</v>
      </c>
      <c r="G224" s="91"/>
    </row>
    <row r="225" spans="1:7" ht="80" x14ac:dyDescent="0.2">
      <c r="C225" s="90" t="s">
        <v>494</v>
      </c>
      <c r="D225" s="6" t="s">
        <v>46</v>
      </c>
      <c r="E225" s="100" t="s">
        <v>2225</v>
      </c>
      <c r="F225" s="90" t="s">
        <v>495</v>
      </c>
    </row>
    <row r="226" spans="1:7" s="18" customFormat="1" ht="80" x14ac:dyDescent="0.2">
      <c r="A226" s="6"/>
      <c r="B226" s="3"/>
      <c r="C226" s="90" t="s">
        <v>496</v>
      </c>
      <c r="D226" s="6" t="s">
        <v>46</v>
      </c>
      <c r="E226" s="100" t="s">
        <v>2225</v>
      </c>
      <c r="F226" s="90" t="s">
        <v>497</v>
      </c>
      <c r="G226" s="3"/>
    </row>
    <row r="227" spans="1:7" ht="80" x14ac:dyDescent="0.2">
      <c r="A227" s="18"/>
      <c r="B227" s="90"/>
      <c r="C227" s="90" t="s">
        <v>498</v>
      </c>
      <c r="D227" s="18" t="s">
        <v>46</v>
      </c>
      <c r="E227" s="100" t="s">
        <v>2225</v>
      </c>
      <c r="F227" s="90" t="s">
        <v>499</v>
      </c>
      <c r="G227" s="90" t="s">
        <v>500</v>
      </c>
    </row>
    <row r="228" spans="1:7" ht="80" x14ac:dyDescent="0.2">
      <c r="C228" s="90" t="s">
        <v>501</v>
      </c>
      <c r="D228" s="6" t="s">
        <v>46</v>
      </c>
      <c r="E228" s="100" t="s">
        <v>2225</v>
      </c>
      <c r="F228" s="90" t="s">
        <v>502</v>
      </c>
    </row>
    <row r="229" spans="1:7" s="18" customFormat="1" x14ac:dyDescent="0.2">
      <c r="A229" s="6"/>
      <c r="B229" s="3"/>
      <c r="C229" s="90"/>
      <c r="D229" s="6"/>
      <c r="E229" s="90"/>
      <c r="F229" s="90"/>
      <c r="G229" s="3"/>
    </row>
    <row r="230" spans="1:7" ht="33" x14ac:dyDescent="0.25">
      <c r="A230" s="74" t="s">
        <v>503</v>
      </c>
      <c r="B230" s="91"/>
      <c r="C230" s="91"/>
      <c r="D230" s="44"/>
      <c r="E230" s="91"/>
      <c r="F230" s="91" t="s">
        <v>504</v>
      </c>
      <c r="G230" s="91"/>
    </row>
    <row r="231" spans="1:7" s="18" customFormat="1" ht="96" x14ac:dyDescent="0.2">
      <c r="A231" s="6"/>
      <c r="B231" s="3"/>
      <c r="C231" s="90" t="s">
        <v>505</v>
      </c>
      <c r="D231" s="6" t="s">
        <v>46</v>
      </c>
      <c r="E231" s="90" t="s">
        <v>2226</v>
      </c>
      <c r="F231" s="90" t="s">
        <v>506</v>
      </c>
      <c r="G231" s="3"/>
    </row>
    <row r="232" spans="1:7" x14ac:dyDescent="0.2">
      <c r="B232" s="90"/>
      <c r="F232" s="90"/>
    </row>
    <row r="233" spans="1:7" x14ac:dyDescent="0.2">
      <c r="A233" s="18"/>
      <c r="B233" s="90"/>
      <c r="C233" s="90"/>
      <c r="D233" s="18"/>
      <c r="E233" s="90"/>
      <c r="F233" s="90"/>
      <c r="G233" s="90"/>
    </row>
    <row r="234" spans="1:7" ht="161" x14ac:dyDescent="0.25">
      <c r="A234" s="74" t="s">
        <v>507</v>
      </c>
      <c r="B234" s="91"/>
      <c r="C234" s="91"/>
      <c r="D234" s="44"/>
      <c r="E234" s="91"/>
      <c r="F234" s="91"/>
      <c r="G234" s="75" t="s">
        <v>508</v>
      </c>
    </row>
    <row r="235" spans="1:7" ht="33" x14ac:dyDescent="0.25">
      <c r="A235" s="46"/>
      <c r="B235" s="90"/>
      <c r="C235" s="90" t="s">
        <v>509</v>
      </c>
      <c r="D235" s="18" t="s">
        <v>46</v>
      </c>
      <c r="E235" s="90" t="s">
        <v>510</v>
      </c>
      <c r="F235" s="90" t="s">
        <v>511</v>
      </c>
      <c r="G235" s="90"/>
    </row>
    <row r="236" spans="1:7" ht="33" x14ac:dyDescent="0.25">
      <c r="A236" s="46"/>
      <c r="C236" s="3" t="s">
        <v>512</v>
      </c>
      <c r="D236" s="6" t="s">
        <v>46</v>
      </c>
      <c r="E236" s="3" t="s">
        <v>513</v>
      </c>
      <c r="F236" s="90" t="s">
        <v>514</v>
      </c>
      <c r="G236" s="3" t="s">
        <v>515</v>
      </c>
    </row>
    <row r="237" spans="1:7" ht="19" x14ac:dyDescent="0.25">
      <c r="A237" s="67"/>
      <c r="C237" s="3" t="s">
        <v>516</v>
      </c>
      <c r="D237" s="6" t="s">
        <v>46</v>
      </c>
      <c r="F237" s="90" t="s">
        <v>517</v>
      </c>
      <c r="G237" s="90"/>
    </row>
    <row r="238" spans="1:7" ht="48" x14ac:dyDescent="0.2">
      <c r="C238" s="3" t="s">
        <v>518</v>
      </c>
      <c r="D238" s="6" t="s">
        <v>46</v>
      </c>
      <c r="E238" s="3" t="s">
        <v>519</v>
      </c>
      <c r="F238" s="90" t="s">
        <v>520</v>
      </c>
      <c r="G238" s="90" t="s">
        <v>521</v>
      </c>
    </row>
    <row r="239" spans="1:7" ht="32" x14ac:dyDescent="0.2">
      <c r="C239" s="3" t="s">
        <v>522</v>
      </c>
      <c r="D239" s="6" t="s">
        <v>46</v>
      </c>
      <c r="E239" s="3" t="s">
        <v>523</v>
      </c>
      <c r="F239" s="90" t="s">
        <v>524</v>
      </c>
      <c r="G239" s="90"/>
    </row>
    <row r="240" spans="1:7" ht="16" x14ac:dyDescent="0.2">
      <c r="C240" s="3" t="s">
        <v>525</v>
      </c>
      <c r="D240" s="6" t="s">
        <v>46</v>
      </c>
      <c r="E240" s="3" t="s">
        <v>526</v>
      </c>
      <c r="F240" s="90" t="s">
        <v>394</v>
      </c>
      <c r="G240" s="3" t="s">
        <v>527</v>
      </c>
    </row>
    <row r="241" spans="1:7" ht="16" x14ac:dyDescent="0.2">
      <c r="C241" s="3" t="s">
        <v>528</v>
      </c>
      <c r="D241" s="6" t="s">
        <v>46</v>
      </c>
      <c r="E241" s="3" t="s">
        <v>529</v>
      </c>
      <c r="F241" s="90" t="s">
        <v>394</v>
      </c>
    </row>
    <row r="242" spans="1:7" s="18" customFormat="1" x14ac:dyDescent="0.2">
      <c r="A242" s="6"/>
      <c r="B242" s="3"/>
      <c r="C242" s="3"/>
      <c r="D242" s="6"/>
      <c r="E242" s="3"/>
      <c r="F242" s="90"/>
      <c r="G242" s="3"/>
    </row>
    <row r="243" spans="1:7" ht="97" x14ac:dyDescent="0.25">
      <c r="A243" s="5" t="s">
        <v>530</v>
      </c>
      <c r="B243" s="91"/>
      <c r="C243" s="91" t="s">
        <v>531</v>
      </c>
      <c r="D243" s="44" t="s">
        <v>46</v>
      </c>
      <c r="E243" s="91" t="s">
        <v>532</v>
      </c>
      <c r="F243" s="91" t="s">
        <v>533</v>
      </c>
      <c r="G243" s="91" t="s">
        <v>534</v>
      </c>
    </row>
    <row r="244" spans="1:7" ht="116.5" customHeight="1" x14ac:dyDescent="0.2">
      <c r="C244" s="3" t="s">
        <v>535</v>
      </c>
      <c r="D244" s="6" t="s">
        <v>46</v>
      </c>
      <c r="E244" s="3" t="s">
        <v>536</v>
      </c>
      <c r="F244" s="90" t="s">
        <v>537</v>
      </c>
      <c r="G244" s="3" t="s">
        <v>538</v>
      </c>
    </row>
    <row r="245" spans="1:7" ht="128" x14ac:dyDescent="0.2">
      <c r="C245" s="3" t="s">
        <v>539</v>
      </c>
      <c r="D245" s="6" t="s">
        <v>156</v>
      </c>
      <c r="E245" s="3" t="s">
        <v>536</v>
      </c>
      <c r="F245" s="90" t="s">
        <v>540</v>
      </c>
      <c r="G245" s="3" t="s">
        <v>205</v>
      </c>
    </row>
    <row r="246" spans="1:7" ht="288" x14ac:dyDescent="0.2">
      <c r="A246" s="18"/>
      <c r="B246" s="90"/>
      <c r="C246" s="90" t="s">
        <v>541</v>
      </c>
      <c r="D246" s="18" t="s">
        <v>156</v>
      </c>
      <c r="E246" s="90" t="s">
        <v>536</v>
      </c>
      <c r="F246" s="90" t="s">
        <v>542</v>
      </c>
      <c r="G246" s="90" t="s">
        <v>543</v>
      </c>
    </row>
    <row r="247" spans="1:7" ht="144" x14ac:dyDescent="0.2">
      <c r="C247" s="3" t="s">
        <v>544</v>
      </c>
      <c r="D247" s="6" t="s">
        <v>156</v>
      </c>
      <c r="E247" s="3" t="s">
        <v>536</v>
      </c>
      <c r="F247" s="90" t="s">
        <v>545</v>
      </c>
      <c r="G247" s="3" t="s">
        <v>546</v>
      </c>
    </row>
    <row r="248" spans="1:7" ht="128" x14ac:dyDescent="0.2">
      <c r="C248" s="3" t="s">
        <v>547</v>
      </c>
      <c r="D248" s="6" t="s">
        <v>156</v>
      </c>
      <c r="E248" s="3" t="s">
        <v>536</v>
      </c>
      <c r="F248" s="90" t="s">
        <v>548</v>
      </c>
      <c r="G248" s="3" t="s">
        <v>549</v>
      </c>
    </row>
    <row r="249" spans="1:7" ht="128" x14ac:dyDescent="0.2">
      <c r="C249" s="3" t="s">
        <v>550</v>
      </c>
      <c r="D249" s="6" t="s">
        <v>156</v>
      </c>
      <c r="E249" s="3" t="s">
        <v>536</v>
      </c>
      <c r="F249" s="90" t="s">
        <v>551</v>
      </c>
      <c r="G249" s="3" t="s">
        <v>549</v>
      </c>
    </row>
    <row r="250" spans="1:7" ht="128" x14ac:dyDescent="0.2">
      <c r="C250" s="3" t="s">
        <v>552</v>
      </c>
      <c r="D250" s="6" t="s">
        <v>156</v>
      </c>
      <c r="E250" s="3" t="s">
        <v>536</v>
      </c>
      <c r="F250" s="90" t="s">
        <v>553</v>
      </c>
      <c r="G250" s="3" t="s">
        <v>549</v>
      </c>
    </row>
    <row r="251" spans="1:7" ht="128" x14ac:dyDescent="0.2">
      <c r="C251" s="3" t="s">
        <v>554</v>
      </c>
      <c r="D251" s="6" t="s">
        <v>156</v>
      </c>
      <c r="E251" s="3" t="s">
        <v>536</v>
      </c>
      <c r="F251" s="90" t="s">
        <v>555</v>
      </c>
      <c r="G251" s="3" t="s">
        <v>549</v>
      </c>
    </row>
    <row r="252" spans="1:7" ht="144" x14ac:dyDescent="0.2">
      <c r="C252" s="3" t="s">
        <v>556</v>
      </c>
      <c r="D252" s="6" t="s">
        <v>156</v>
      </c>
      <c r="E252" s="3" t="s">
        <v>557</v>
      </c>
      <c r="F252" s="90" t="s">
        <v>558</v>
      </c>
      <c r="G252" s="3" t="s">
        <v>549</v>
      </c>
    </row>
    <row r="253" spans="1:7" ht="128" x14ac:dyDescent="0.2">
      <c r="C253" s="3" t="s">
        <v>559</v>
      </c>
      <c r="D253" s="6" t="s">
        <v>156</v>
      </c>
      <c r="E253" s="3" t="s">
        <v>560</v>
      </c>
      <c r="F253" s="90" t="s">
        <v>561</v>
      </c>
      <c r="G253" s="3" t="s">
        <v>549</v>
      </c>
    </row>
    <row r="254" spans="1:7" ht="128" x14ac:dyDescent="0.2">
      <c r="C254" s="3" t="s">
        <v>562</v>
      </c>
      <c r="D254" s="6" t="s">
        <v>156</v>
      </c>
      <c r="E254" s="3" t="s">
        <v>560</v>
      </c>
      <c r="F254" s="90" t="s">
        <v>563</v>
      </c>
      <c r="G254" s="3" t="s">
        <v>549</v>
      </c>
    </row>
    <row r="255" spans="1:7" ht="128" x14ac:dyDescent="0.2">
      <c r="C255" s="3" t="s">
        <v>564</v>
      </c>
      <c r="D255" s="6" t="s">
        <v>156</v>
      </c>
      <c r="E255" s="3" t="s">
        <v>560</v>
      </c>
      <c r="F255" s="90" t="s">
        <v>565</v>
      </c>
      <c r="G255" s="3" t="s">
        <v>549</v>
      </c>
    </row>
    <row r="256" spans="1:7" ht="128" x14ac:dyDescent="0.2">
      <c r="C256" s="3" t="s">
        <v>566</v>
      </c>
      <c r="D256" s="6" t="s">
        <v>156</v>
      </c>
      <c r="E256" s="3" t="s">
        <v>560</v>
      </c>
      <c r="F256" s="90" t="s">
        <v>567</v>
      </c>
      <c r="G256" s="3" t="s">
        <v>568</v>
      </c>
    </row>
    <row r="257" spans="1:8" ht="128" x14ac:dyDescent="0.2">
      <c r="C257" s="3" t="s">
        <v>569</v>
      </c>
      <c r="D257" s="6" t="s">
        <v>156</v>
      </c>
      <c r="E257" s="3" t="s">
        <v>560</v>
      </c>
      <c r="F257" s="90" t="s">
        <v>570</v>
      </c>
      <c r="G257" s="3" t="s">
        <v>571</v>
      </c>
    </row>
    <row r="258" spans="1:8" ht="128" x14ac:dyDescent="0.2">
      <c r="C258" s="3" t="s">
        <v>572</v>
      </c>
      <c r="D258" s="6" t="s">
        <v>156</v>
      </c>
      <c r="E258" s="3" t="s">
        <v>560</v>
      </c>
      <c r="F258" s="90" t="s">
        <v>573</v>
      </c>
      <c r="G258" s="3" t="s">
        <v>571</v>
      </c>
    </row>
    <row r="259" spans="1:8" ht="80" x14ac:dyDescent="0.2">
      <c r="C259" s="3" t="s">
        <v>574</v>
      </c>
      <c r="D259" s="6" t="s">
        <v>156</v>
      </c>
      <c r="E259" s="3" t="s">
        <v>575</v>
      </c>
      <c r="F259" s="90" t="s">
        <v>576</v>
      </c>
      <c r="G259" s="3" t="s">
        <v>571</v>
      </c>
    </row>
    <row r="260" spans="1:8" ht="80" x14ac:dyDescent="0.2">
      <c r="C260" s="3" t="s">
        <v>577</v>
      </c>
      <c r="D260" s="6" t="s">
        <v>156</v>
      </c>
      <c r="E260" s="3" t="s">
        <v>575</v>
      </c>
      <c r="F260" s="90" t="s">
        <v>578</v>
      </c>
      <c r="G260" s="3" t="s">
        <v>579</v>
      </c>
    </row>
    <row r="261" spans="1:8" ht="80" x14ac:dyDescent="0.2">
      <c r="C261" s="3" t="s">
        <v>580</v>
      </c>
      <c r="D261" s="6" t="s">
        <v>156</v>
      </c>
      <c r="E261" s="3" t="s">
        <v>575</v>
      </c>
      <c r="F261" s="90" t="s">
        <v>581</v>
      </c>
      <c r="G261" s="3" t="s">
        <v>579</v>
      </c>
    </row>
    <row r="262" spans="1:8" ht="80" x14ac:dyDescent="0.2">
      <c r="C262" s="3" t="s">
        <v>582</v>
      </c>
      <c r="D262" s="6" t="s">
        <v>156</v>
      </c>
      <c r="E262" s="3" t="s">
        <v>575</v>
      </c>
      <c r="F262" s="90" t="s">
        <v>583</v>
      </c>
      <c r="G262" s="3" t="s">
        <v>579</v>
      </c>
    </row>
    <row r="263" spans="1:8" s="76" customFormat="1" ht="113" customHeight="1" x14ac:dyDescent="0.2">
      <c r="A263" s="6"/>
      <c r="B263" s="3"/>
      <c r="C263" s="3" t="s">
        <v>584</v>
      </c>
      <c r="D263" s="6" t="s">
        <v>156</v>
      </c>
      <c r="E263" s="3" t="s">
        <v>575</v>
      </c>
      <c r="F263" s="90" t="s">
        <v>585</v>
      </c>
      <c r="G263" s="3"/>
      <c r="H263" s="78"/>
    </row>
    <row r="264" spans="1:8" s="76" customFormat="1" ht="108.5" customHeight="1" x14ac:dyDescent="0.2">
      <c r="A264" s="6"/>
      <c r="B264" s="3"/>
      <c r="C264" s="3" t="s">
        <v>586</v>
      </c>
      <c r="D264" s="6" t="s">
        <v>156</v>
      </c>
      <c r="E264" s="3" t="s">
        <v>575</v>
      </c>
      <c r="F264" s="90" t="s">
        <v>587</v>
      </c>
      <c r="G264" s="3"/>
      <c r="H264" s="78"/>
    </row>
    <row r="265" spans="1:8" s="76" customFormat="1" ht="106.25" customHeight="1" x14ac:dyDescent="0.2">
      <c r="A265" s="6"/>
      <c r="B265" s="3"/>
      <c r="C265" s="3" t="s">
        <v>588</v>
      </c>
      <c r="D265" s="6" t="s">
        <v>156</v>
      </c>
      <c r="E265" s="3" t="s">
        <v>575</v>
      </c>
      <c r="F265" s="90" t="s">
        <v>589</v>
      </c>
      <c r="G265" s="3"/>
      <c r="H265" s="78"/>
    </row>
    <row r="266" spans="1:8" s="76" customFormat="1" ht="80" x14ac:dyDescent="0.2">
      <c r="A266" s="6"/>
      <c r="B266" s="3"/>
      <c r="C266" s="3" t="s">
        <v>590</v>
      </c>
      <c r="D266" s="6" t="s">
        <v>156</v>
      </c>
      <c r="E266" s="3" t="s">
        <v>575</v>
      </c>
      <c r="F266" s="90" t="s">
        <v>591</v>
      </c>
      <c r="G266" s="3"/>
      <c r="H266" s="78"/>
    </row>
    <row r="267" spans="1:8" s="76" customFormat="1" ht="108" customHeight="1" x14ac:dyDescent="0.2">
      <c r="B267" s="85"/>
      <c r="C267" s="85" t="s">
        <v>592</v>
      </c>
      <c r="D267" s="76" t="s">
        <v>156</v>
      </c>
      <c r="E267" s="85" t="s">
        <v>593</v>
      </c>
      <c r="F267" s="81" t="s">
        <v>594</v>
      </c>
      <c r="G267" s="85"/>
      <c r="H267" s="78"/>
    </row>
    <row r="268" spans="1:8" s="76" customFormat="1" ht="114.5" customHeight="1" x14ac:dyDescent="0.2">
      <c r="B268" s="85"/>
      <c r="C268" s="85" t="s">
        <v>595</v>
      </c>
      <c r="D268" s="76" t="s">
        <v>156</v>
      </c>
      <c r="E268" s="85" t="s">
        <v>593</v>
      </c>
      <c r="F268" s="81" t="s">
        <v>596</v>
      </c>
      <c r="G268" s="85"/>
      <c r="H268" s="78"/>
    </row>
    <row r="269" spans="1:8" ht="112" x14ac:dyDescent="0.2">
      <c r="A269" s="76"/>
      <c r="B269" s="85"/>
      <c r="C269" s="76" t="s">
        <v>597</v>
      </c>
      <c r="D269" s="76" t="s">
        <v>156</v>
      </c>
      <c r="E269" s="85" t="s">
        <v>593</v>
      </c>
      <c r="F269" s="81" t="s">
        <v>598</v>
      </c>
      <c r="G269" s="85"/>
    </row>
    <row r="270" spans="1:8" ht="112" x14ac:dyDescent="0.2">
      <c r="A270" s="76"/>
      <c r="B270" s="85"/>
      <c r="C270" s="85" t="s">
        <v>599</v>
      </c>
      <c r="D270" s="76" t="s">
        <v>156</v>
      </c>
      <c r="E270" s="85" t="s">
        <v>593</v>
      </c>
      <c r="F270" s="85" t="s">
        <v>600</v>
      </c>
      <c r="G270" s="85"/>
    </row>
    <row r="271" spans="1:8" ht="112" x14ac:dyDescent="0.2">
      <c r="A271" s="76"/>
      <c r="B271" s="85"/>
      <c r="C271" s="85" t="s">
        <v>601</v>
      </c>
      <c r="D271" s="76" t="s">
        <v>156</v>
      </c>
      <c r="E271" s="85" t="s">
        <v>593</v>
      </c>
      <c r="F271" s="81" t="s">
        <v>602</v>
      </c>
      <c r="G271" s="85"/>
    </row>
    <row r="272" spans="1:8" ht="112" x14ac:dyDescent="0.2">
      <c r="A272" s="76"/>
      <c r="B272" s="85"/>
      <c r="C272" s="85" t="s">
        <v>603</v>
      </c>
      <c r="D272" s="76" t="s">
        <v>156</v>
      </c>
      <c r="E272" s="85" t="s">
        <v>593</v>
      </c>
      <c r="F272" s="81" t="s">
        <v>604</v>
      </c>
      <c r="G272" s="85"/>
    </row>
    <row r="273" spans="3:7" ht="64" x14ac:dyDescent="0.2">
      <c r="C273" s="3" t="s">
        <v>605</v>
      </c>
      <c r="D273" s="6" t="s">
        <v>156</v>
      </c>
      <c r="E273" s="3" t="s">
        <v>606</v>
      </c>
      <c r="F273" s="90" t="s">
        <v>607</v>
      </c>
    </row>
    <row r="274" spans="3:7" ht="189.5" customHeight="1" x14ac:dyDescent="0.2">
      <c r="C274" s="3" t="s">
        <v>608</v>
      </c>
      <c r="D274" s="6" t="s">
        <v>46</v>
      </c>
      <c r="E274" s="3" t="s">
        <v>609</v>
      </c>
      <c r="F274" s="90" t="s">
        <v>610</v>
      </c>
      <c r="G274" s="85" t="s">
        <v>611</v>
      </c>
    </row>
    <row r="275" spans="3:7" ht="144" x14ac:dyDescent="0.2">
      <c r="C275" s="3" t="s">
        <v>612</v>
      </c>
      <c r="D275" s="6" t="s">
        <v>156</v>
      </c>
      <c r="E275" s="3" t="s">
        <v>613</v>
      </c>
      <c r="F275" s="90" t="s">
        <v>614</v>
      </c>
    </row>
    <row r="276" spans="3:7" ht="144" x14ac:dyDescent="0.2">
      <c r="C276" s="3" t="s">
        <v>615</v>
      </c>
      <c r="D276" s="6" t="s">
        <v>156</v>
      </c>
      <c r="E276" s="3" t="s">
        <v>613</v>
      </c>
      <c r="F276" s="90" t="s">
        <v>616</v>
      </c>
    </row>
    <row r="277" spans="3:7" ht="144" x14ac:dyDescent="0.2">
      <c r="C277" s="3" t="s">
        <v>617</v>
      </c>
      <c r="D277" s="6" t="s">
        <v>156</v>
      </c>
      <c r="E277" s="3" t="s">
        <v>613</v>
      </c>
      <c r="F277" s="90" t="s">
        <v>618</v>
      </c>
    </row>
    <row r="278" spans="3:7" ht="192" x14ac:dyDescent="0.2">
      <c r="C278" s="3" t="s">
        <v>619</v>
      </c>
      <c r="D278" s="6" t="s">
        <v>156</v>
      </c>
      <c r="E278" s="3" t="s">
        <v>613</v>
      </c>
      <c r="F278" s="90" t="s">
        <v>620</v>
      </c>
      <c r="G278" s="3" t="s">
        <v>621</v>
      </c>
    </row>
    <row r="279" spans="3:7" ht="144" x14ac:dyDescent="0.2">
      <c r="C279" s="3" t="s">
        <v>622</v>
      </c>
      <c r="D279" s="6" t="s">
        <v>156</v>
      </c>
      <c r="E279" s="3" t="s">
        <v>613</v>
      </c>
      <c r="F279" s="90" t="s">
        <v>623</v>
      </c>
      <c r="G279" s="3" t="s">
        <v>624</v>
      </c>
    </row>
    <row r="280" spans="3:7" ht="144" x14ac:dyDescent="0.2">
      <c r="C280" s="3" t="s">
        <v>625</v>
      </c>
      <c r="D280" s="6" t="s">
        <v>156</v>
      </c>
      <c r="E280" s="3" t="s">
        <v>613</v>
      </c>
      <c r="F280" s="90" t="s">
        <v>626</v>
      </c>
      <c r="G280" s="3" t="s">
        <v>624</v>
      </c>
    </row>
    <row r="281" spans="3:7" ht="144" x14ac:dyDescent="0.2">
      <c r="C281" s="3" t="s">
        <v>627</v>
      </c>
      <c r="D281" s="6" t="s">
        <v>156</v>
      </c>
      <c r="E281" s="3" t="s">
        <v>613</v>
      </c>
      <c r="F281" s="90" t="s">
        <v>628</v>
      </c>
      <c r="G281" s="3" t="s">
        <v>624</v>
      </c>
    </row>
    <row r="282" spans="3:7" ht="144" x14ac:dyDescent="0.2">
      <c r="C282" s="3" t="s">
        <v>629</v>
      </c>
      <c r="D282" s="6" t="s">
        <v>156</v>
      </c>
      <c r="E282" s="3" t="s">
        <v>613</v>
      </c>
      <c r="F282" s="90" t="s">
        <v>630</v>
      </c>
      <c r="G282" s="3" t="s">
        <v>624</v>
      </c>
    </row>
    <row r="283" spans="3:7" ht="144" x14ac:dyDescent="0.2">
      <c r="C283" s="3" t="s">
        <v>631</v>
      </c>
      <c r="D283" s="6" t="s">
        <v>156</v>
      </c>
      <c r="E283" s="3" t="s">
        <v>613</v>
      </c>
      <c r="F283" s="90" t="s">
        <v>632</v>
      </c>
      <c r="G283" s="3" t="s">
        <v>624</v>
      </c>
    </row>
    <row r="284" spans="3:7" ht="144" x14ac:dyDescent="0.2">
      <c r="C284" s="3" t="s">
        <v>633</v>
      </c>
      <c r="D284" s="6" t="s">
        <v>156</v>
      </c>
      <c r="E284" s="3" t="s">
        <v>613</v>
      </c>
      <c r="F284" s="90" t="s">
        <v>634</v>
      </c>
      <c r="G284" s="3" t="s">
        <v>624</v>
      </c>
    </row>
    <row r="285" spans="3:7" ht="144" x14ac:dyDescent="0.2">
      <c r="C285" s="3" t="s">
        <v>635</v>
      </c>
      <c r="D285" s="6" t="s">
        <v>156</v>
      </c>
      <c r="E285" s="3" t="s">
        <v>613</v>
      </c>
      <c r="F285" s="90" t="s">
        <v>636</v>
      </c>
      <c r="G285" s="3" t="s">
        <v>624</v>
      </c>
    </row>
    <row r="286" spans="3:7" ht="144" x14ac:dyDescent="0.2">
      <c r="C286" s="3" t="s">
        <v>637</v>
      </c>
      <c r="D286" s="6" t="s">
        <v>156</v>
      </c>
      <c r="E286" s="3" t="s">
        <v>613</v>
      </c>
      <c r="F286" s="90" t="s">
        <v>638</v>
      </c>
      <c r="G286" s="3" t="s">
        <v>624</v>
      </c>
    </row>
    <row r="287" spans="3:7" ht="144" x14ac:dyDescent="0.2">
      <c r="C287" s="3" t="s">
        <v>639</v>
      </c>
      <c r="D287" s="6" t="s">
        <v>156</v>
      </c>
      <c r="E287" s="3" t="s">
        <v>613</v>
      </c>
      <c r="F287" s="90" t="s">
        <v>640</v>
      </c>
      <c r="G287" s="3" t="s">
        <v>624</v>
      </c>
    </row>
    <row r="288" spans="3:7" ht="144" x14ac:dyDescent="0.2">
      <c r="C288" s="3" t="s">
        <v>641</v>
      </c>
      <c r="D288" s="6" t="s">
        <v>156</v>
      </c>
      <c r="E288" s="3" t="s">
        <v>613</v>
      </c>
      <c r="F288" s="90" t="s">
        <v>642</v>
      </c>
      <c r="G288" s="3" t="s">
        <v>624</v>
      </c>
    </row>
    <row r="289" spans="3:7" ht="144" x14ac:dyDescent="0.2">
      <c r="C289" s="3" t="s">
        <v>643</v>
      </c>
      <c r="D289" s="6" t="s">
        <v>156</v>
      </c>
      <c r="E289" s="3" t="s">
        <v>613</v>
      </c>
      <c r="F289" s="90" t="s">
        <v>644</v>
      </c>
      <c r="G289" s="3" t="s">
        <v>624</v>
      </c>
    </row>
    <row r="290" spans="3:7" ht="144" x14ac:dyDescent="0.2">
      <c r="C290" s="3" t="s">
        <v>645</v>
      </c>
      <c r="D290" s="6" t="s">
        <v>156</v>
      </c>
      <c r="E290" s="3" t="s">
        <v>613</v>
      </c>
      <c r="F290" s="90" t="s">
        <v>646</v>
      </c>
      <c r="G290" s="3" t="s">
        <v>624</v>
      </c>
    </row>
    <row r="291" spans="3:7" ht="144" x14ac:dyDescent="0.2">
      <c r="C291" s="3" t="s">
        <v>647</v>
      </c>
      <c r="D291" s="6" t="s">
        <v>156</v>
      </c>
      <c r="E291" s="3" t="s">
        <v>613</v>
      </c>
      <c r="F291" s="90" t="s">
        <v>648</v>
      </c>
      <c r="G291" s="3" t="s">
        <v>624</v>
      </c>
    </row>
    <row r="292" spans="3:7" ht="144" x14ac:dyDescent="0.2">
      <c r="C292" s="3" t="s">
        <v>649</v>
      </c>
      <c r="D292" s="6" t="s">
        <v>156</v>
      </c>
      <c r="E292" s="3" t="s">
        <v>613</v>
      </c>
      <c r="F292" s="90" t="s">
        <v>650</v>
      </c>
      <c r="G292" s="3" t="s">
        <v>624</v>
      </c>
    </row>
    <row r="293" spans="3:7" ht="128" x14ac:dyDescent="0.2">
      <c r="C293" s="3" t="s">
        <v>651</v>
      </c>
      <c r="D293" s="6" t="s">
        <v>46</v>
      </c>
      <c r="E293" s="3" t="s">
        <v>560</v>
      </c>
      <c r="F293" s="90" t="s">
        <v>652</v>
      </c>
      <c r="G293" s="3" t="s">
        <v>624</v>
      </c>
    </row>
    <row r="294" spans="3:7" ht="128" x14ac:dyDescent="0.2">
      <c r="C294" s="3" t="s">
        <v>653</v>
      </c>
      <c r="D294" s="6" t="s">
        <v>46</v>
      </c>
      <c r="E294" s="3" t="s">
        <v>560</v>
      </c>
      <c r="F294" s="90" t="s">
        <v>654</v>
      </c>
      <c r="G294" s="3" t="s">
        <v>624</v>
      </c>
    </row>
    <row r="295" spans="3:7" ht="128" x14ac:dyDescent="0.2">
      <c r="C295" s="3" t="s">
        <v>655</v>
      </c>
      <c r="D295" s="6" t="s">
        <v>156</v>
      </c>
      <c r="E295" s="3" t="s">
        <v>560</v>
      </c>
      <c r="F295" s="90" t="s">
        <v>656</v>
      </c>
      <c r="G295" s="3" t="s">
        <v>624</v>
      </c>
    </row>
    <row r="296" spans="3:7" ht="128" x14ac:dyDescent="0.2">
      <c r="C296" s="3" t="s">
        <v>657</v>
      </c>
      <c r="D296" s="6" t="s">
        <v>156</v>
      </c>
      <c r="E296" s="3" t="s">
        <v>560</v>
      </c>
      <c r="F296" s="90" t="s">
        <v>658</v>
      </c>
      <c r="G296" s="3" t="s">
        <v>624</v>
      </c>
    </row>
    <row r="297" spans="3:7" ht="128" x14ac:dyDescent="0.2">
      <c r="C297" s="3" t="s">
        <v>659</v>
      </c>
      <c r="D297" s="6" t="s">
        <v>156</v>
      </c>
      <c r="E297" s="3" t="s">
        <v>560</v>
      </c>
      <c r="F297" s="90" t="s">
        <v>660</v>
      </c>
      <c r="G297" s="3" t="s">
        <v>624</v>
      </c>
    </row>
    <row r="298" spans="3:7" ht="128" x14ac:dyDescent="0.2">
      <c r="C298" s="3" t="s">
        <v>661</v>
      </c>
      <c r="D298" s="6" t="s">
        <v>46</v>
      </c>
      <c r="E298" s="3" t="s">
        <v>560</v>
      </c>
      <c r="F298" s="90" t="s">
        <v>662</v>
      </c>
      <c r="G298" s="3" t="s">
        <v>663</v>
      </c>
    </row>
    <row r="299" spans="3:7" ht="16" x14ac:dyDescent="0.2">
      <c r="D299" s="6" t="s">
        <v>664</v>
      </c>
      <c r="F299" s="90"/>
      <c r="G299" s="3" t="s">
        <v>624</v>
      </c>
    </row>
    <row r="300" spans="3:7" ht="16" x14ac:dyDescent="0.2">
      <c r="F300" s="90"/>
      <c r="G300" s="3" t="s">
        <v>624</v>
      </c>
    </row>
    <row r="301" spans="3:7" ht="16" x14ac:dyDescent="0.2">
      <c r="F301" s="90"/>
      <c r="G301" s="3" t="s">
        <v>624</v>
      </c>
    </row>
    <row r="303" spans="3:7" ht="32" x14ac:dyDescent="0.2">
      <c r="F303" s="90"/>
      <c r="G303" s="3" t="s">
        <v>665</v>
      </c>
    </row>
  </sheetData>
  <sortState xmlns:xlrd2="http://schemas.microsoft.com/office/spreadsheetml/2017/richdata2" ref="A267:AMK272">
    <sortCondition ref="C267:C272"/>
  </sortState>
  <mergeCells count="27">
    <mergeCell ref="F36:G36"/>
    <mergeCell ref="F80:G80"/>
    <mergeCell ref="F81:G81"/>
    <mergeCell ref="F82:G82"/>
    <mergeCell ref="F83:G83"/>
    <mergeCell ref="A22:G22"/>
    <mergeCell ref="A23:G23"/>
    <mergeCell ref="A24:G24"/>
    <mergeCell ref="A25:G25"/>
    <mergeCell ref="C35:G35"/>
    <mergeCell ref="C14:G14"/>
    <mergeCell ref="C15:G15"/>
    <mergeCell ref="C17:G17"/>
    <mergeCell ref="A20:G20"/>
    <mergeCell ref="A21:G21"/>
    <mergeCell ref="A1:G1"/>
    <mergeCell ref="A2:G2"/>
    <mergeCell ref="C3:G3"/>
    <mergeCell ref="C12:G12"/>
    <mergeCell ref="C13:G13"/>
    <mergeCell ref="C10:G10"/>
    <mergeCell ref="C11:G11"/>
    <mergeCell ref="C8:G8"/>
    <mergeCell ref="C7:G7"/>
    <mergeCell ref="C6:F6"/>
    <mergeCell ref="C5:G5"/>
    <mergeCell ref="C4:G4"/>
  </mergeCells>
  <pageMargins left="0.7" right="0.7" top="0.75" bottom="0.75" header="0.51180555555555496" footer="0.51180555555555496"/>
  <pageSetup scale="39" firstPageNumber="0" fitToHeight="0" orientation="landscape"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ML156"/>
  <sheetViews>
    <sheetView topLeftCell="A41" zoomScaleNormal="100" workbookViewId="0">
      <selection activeCell="A49" sqref="A49"/>
    </sheetView>
  </sheetViews>
  <sheetFormatPr baseColWidth="10" defaultColWidth="8.83203125" defaultRowHeight="15" x14ac:dyDescent="0.2"/>
  <cols>
    <col min="1" max="1" width="15.1640625" style="6" customWidth="1"/>
    <col min="2" max="2" width="42.5" style="3" customWidth="1"/>
    <col min="3" max="3" width="11.6640625" style="6" customWidth="1"/>
    <col min="4" max="4" width="23" style="6" customWidth="1"/>
    <col min="5" max="5" width="12.5" style="6" customWidth="1"/>
    <col min="6" max="6" width="41.33203125" style="7" customWidth="1"/>
    <col min="7" max="7" width="86.5" style="3" customWidth="1"/>
    <col min="8" max="8" width="22.83203125" style="6" customWidth="1"/>
    <col min="9" max="1025" width="9.1640625" style="6" customWidth="1"/>
  </cols>
  <sheetData>
    <row r="1" spans="1:8" ht="27.75" customHeight="1" x14ac:dyDescent="0.3">
      <c r="A1" s="131" t="s">
        <v>666</v>
      </c>
      <c r="B1" s="131"/>
      <c r="C1" s="131"/>
      <c r="D1" s="131"/>
      <c r="E1" s="131"/>
      <c r="F1" s="131"/>
      <c r="G1" s="131"/>
    </row>
    <row r="3" spans="1:8" x14ac:dyDescent="0.2">
      <c r="A3" s="6" t="s">
        <v>667</v>
      </c>
    </row>
    <row r="7" spans="1:8" ht="32" x14ac:dyDescent="0.2">
      <c r="A7" s="8" t="s">
        <v>668</v>
      </c>
      <c r="B7" s="9" t="s">
        <v>40</v>
      </c>
      <c r="C7" s="9" t="s">
        <v>669</v>
      </c>
      <c r="D7" s="8" t="s">
        <v>42</v>
      </c>
      <c r="E7" s="8" t="s">
        <v>670</v>
      </c>
      <c r="F7" s="10" t="s">
        <v>671</v>
      </c>
      <c r="G7" s="9" t="s">
        <v>30</v>
      </c>
      <c r="H7" s="9"/>
    </row>
    <row r="8" spans="1:8" x14ac:dyDescent="0.2">
      <c r="A8" s="6" t="s">
        <v>672</v>
      </c>
    </row>
    <row r="9" spans="1:8" ht="16" x14ac:dyDescent="0.2">
      <c r="B9" s="6" t="s">
        <v>673</v>
      </c>
      <c r="C9" s="6" t="s">
        <v>174</v>
      </c>
      <c r="D9" s="6" t="s">
        <v>674</v>
      </c>
      <c r="E9" s="6" t="s">
        <v>675</v>
      </c>
      <c r="F9" s="7" t="s">
        <v>676</v>
      </c>
      <c r="G9" s="3" t="s">
        <v>677</v>
      </c>
    </row>
    <row r="11" spans="1:8" ht="16" x14ac:dyDescent="0.2">
      <c r="A11" s="6" t="s">
        <v>678</v>
      </c>
      <c r="G11" s="3" t="s">
        <v>679</v>
      </c>
    </row>
    <row r="12" spans="1:8" ht="64" x14ac:dyDescent="0.2">
      <c r="B12" s="3" t="s">
        <v>680</v>
      </c>
      <c r="C12" s="6" t="s">
        <v>274</v>
      </c>
      <c r="D12" s="3" t="s">
        <v>87</v>
      </c>
      <c r="F12" s="7" t="s">
        <v>681</v>
      </c>
    </row>
    <row r="13" spans="1:8" ht="64" x14ac:dyDescent="0.2">
      <c r="B13" s="3" t="s">
        <v>682</v>
      </c>
      <c r="C13" s="6" t="s">
        <v>274</v>
      </c>
      <c r="D13" s="3" t="s">
        <v>87</v>
      </c>
      <c r="F13" s="7" t="s">
        <v>683</v>
      </c>
    </row>
    <row r="14" spans="1:8" ht="64" x14ac:dyDescent="0.2">
      <c r="B14" s="3" t="s">
        <v>684</v>
      </c>
      <c r="C14" s="6" t="s">
        <v>274</v>
      </c>
      <c r="D14" s="3" t="s">
        <v>87</v>
      </c>
      <c r="F14" s="7" t="s">
        <v>685</v>
      </c>
    </row>
    <row r="15" spans="1:8" ht="64" x14ac:dyDescent="0.2">
      <c r="B15" s="3" t="s">
        <v>686</v>
      </c>
      <c r="C15" s="6" t="s">
        <v>274</v>
      </c>
      <c r="D15" s="3" t="s">
        <v>87</v>
      </c>
      <c r="F15" s="83" t="s">
        <v>687</v>
      </c>
    </row>
    <row r="16" spans="1:8" ht="64" x14ac:dyDescent="0.2">
      <c r="B16" s="3" t="s">
        <v>688</v>
      </c>
      <c r="C16" s="6" t="s">
        <v>274</v>
      </c>
      <c r="D16" s="3" t="s">
        <v>87</v>
      </c>
      <c r="F16" s="7" t="s">
        <v>689</v>
      </c>
    </row>
    <row r="17" spans="1:7" ht="64" x14ac:dyDescent="0.2">
      <c r="B17" s="3" t="s">
        <v>690</v>
      </c>
      <c r="C17" s="6" t="s">
        <v>274</v>
      </c>
      <c r="D17" s="3" t="s">
        <v>87</v>
      </c>
      <c r="F17" s="7" t="s">
        <v>691</v>
      </c>
    </row>
    <row r="18" spans="1:7" ht="64" x14ac:dyDescent="0.2">
      <c r="B18" s="3" t="s">
        <v>692</v>
      </c>
      <c r="C18" s="6" t="s">
        <v>274</v>
      </c>
      <c r="D18" s="3" t="s">
        <v>87</v>
      </c>
      <c r="F18" s="7" t="s">
        <v>693</v>
      </c>
    </row>
    <row r="19" spans="1:7" ht="64" x14ac:dyDescent="0.2">
      <c r="B19" s="3" t="s">
        <v>694</v>
      </c>
      <c r="C19" s="6" t="s">
        <v>274</v>
      </c>
      <c r="D19" s="3" t="s">
        <v>87</v>
      </c>
      <c r="F19" s="7" t="s">
        <v>695</v>
      </c>
    </row>
    <row r="20" spans="1:7" x14ac:dyDescent="0.2">
      <c r="D20" s="3"/>
    </row>
    <row r="21" spans="1:7" ht="32" x14ac:dyDescent="0.2">
      <c r="A21" s="6" t="s">
        <v>696</v>
      </c>
      <c r="G21" s="3" t="s">
        <v>697</v>
      </c>
    </row>
    <row r="22" spans="1:7" ht="32" x14ac:dyDescent="0.2">
      <c r="B22" s="6" t="s">
        <v>698</v>
      </c>
      <c r="C22" s="6" t="s">
        <v>274</v>
      </c>
      <c r="E22" s="6" t="s">
        <v>675</v>
      </c>
      <c r="F22" s="7" t="s">
        <v>699</v>
      </c>
    </row>
    <row r="23" spans="1:7" ht="32" x14ac:dyDescent="0.2">
      <c r="B23" s="6" t="s">
        <v>700</v>
      </c>
      <c r="C23" s="6" t="s">
        <v>274</v>
      </c>
      <c r="E23" s="6" t="s">
        <v>701</v>
      </c>
      <c r="F23" s="7" t="s">
        <v>702</v>
      </c>
    </row>
    <row r="24" spans="1:7" ht="32" x14ac:dyDescent="0.2">
      <c r="B24" s="6" t="s">
        <v>703</v>
      </c>
      <c r="C24" s="6" t="s">
        <v>274</v>
      </c>
      <c r="E24" s="6" t="s">
        <v>701</v>
      </c>
      <c r="F24" s="7" t="s">
        <v>704</v>
      </c>
    </row>
    <row r="25" spans="1:7" ht="32" x14ac:dyDescent="0.2">
      <c r="B25" s="6" t="s">
        <v>705</v>
      </c>
      <c r="C25" s="6" t="s">
        <v>274</v>
      </c>
      <c r="E25" s="6" t="s">
        <v>701</v>
      </c>
      <c r="F25" s="7" t="s">
        <v>706</v>
      </c>
    </row>
    <row r="26" spans="1:7" ht="32" x14ac:dyDescent="0.2">
      <c r="B26" s="6" t="s">
        <v>707</v>
      </c>
      <c r="C26" s="6" t="s">
        <v>274</v>
      </c>
      <c r="E26" s="6" t="s">
        <v>701</v>
      </c>
      <c r="F26" s="7" t="s">
        <v>708</v>
      </c>
    </row>
    <row r="27" spans="1:7" ht="32" x14ac:dyDescent="0.2">
      <c r="B27" s="6" t="s">
        <v>709</v>
      </c>
      <c r="C27" s="6" t="s">
        <v>274</v>
      </c>
      <c r="E27" s="6" t="s">
        <v>701</v>
      </c>
      <c r="F27" s="7" t="s">
        <v>710</v>
      </c>
    </row>
    <row r="28" spans="1:7" ht="32" x14ac:dyDescent="0.2">
      <c r="B28" s="6" t="s">
        <v>711</v>
      </c>
      <c r="C28" s="6" t="s">
        <v>274</v>
      </c>
      <c r="E28" s="6" t="s">
        <v>701</v>
      </c>
      <c r="F28" s="7" t="s">
        <v>712</v>
      </c>
    </row>
    <row r="29" spans="1:7" ht="32" x14ac:dyDescent="0.2">
      <c r="B29" s="6" t="s">
        <v>713</v>
      </c>
      <c r="C29" s="6" t="s">
        <v>274</v>
      </c>
      <c r="E29" s="6" t="s">
        <v>701</v>
      </c>
      <c r="F29" s="7" t="s">
        <v>714</v>
      </c>
    </row>
    <row r="30" spans="1:7" ht="32" x14ac:dyDescent="0.2">
      <c r="B30" s="6" t="s">
        <v>715</v>
      </c>
      <c r="C30" s="6" t="s">
        <v>274</v>
      </c>
      <c r="E30" s="6" t="s">
        <v>701</v>
      </c>
      <c r="F30" s="7" t="s">
        <v>716</v>
      </c>
    </row>
    <row r="31" spans="1:7" ht="32" x14ac:dyDescent="0.2">
      <c r="B31" s="6" t="s">
        <v>717</v>
      </c>
      <c r="C31" s="6" t="s">
        <v>274</v>
      </c>
      <c r="E31" s="6" t="s">
        <v>701</v>
      </c>
      <c r="F31" s="7" t="s">
        <v>718</v>
      </c>
    </row>
    <row r="32" spans="1:7" ht="32" x14ac:dyDescent="0.2">
      <c r="B32" s="6" t="s">
        <v>719</v>
      </c>
      <c r="C32" s="6" t="s">
        <v>274</v>
      </c>
      <c r="E32" s="6" t="s">
        <v>675</v>
      </c>
      <c r="F32" s="7" t="s">
        <v>720</v>
      </c>
    </row>
    <row r="33" spans="1:8" ht="32" x14ac:dyDescent="0.2">
      <c r="B33" s="6" t="s">
        <v>721</v>
      </c>
      <c r="C33" s="6" t="s">
        <v>274</v>
      </c>
      <c r="E33" s="6" t="s">
        <v>701</v>
      </c>
      <c r="F33" s="7" t="s">
        <v>722</v>
      </c>
    </row>
    <row r="34" spans="1:8" ht="32" x14ac:dyDescent="0.2">
      <c r="B34" s="6" t="s">
        <v>723</v>
      </c>
      <c r="C34" s="6" t="s">
        <v>274</v>
      </c>
      <c r="E34" s="6" t="s">
        <v>701</v>
      </c>
      <c r="F34" s="7" t="s">
        <v>724</v>
      </c>
    </row>
    <row r="35" spans="1:8" ht="32" x14ac:dyDescent="0.2">
      <c r="B35" s="6" t="s">
        <v>725</v>
      </c>
      <c r="C35" s="6" t="s">
        <v>274</v>
      </c>
      <c r="E35" s="6" t="s">
        <v>675</v>
      </c>
      <c r="F35" s="7" t="s">
        <v>726</v>
      </c>
    </row>
    <row r="36" spans="1:8" ht="32" x14ac:dyDescent="0.2">
      <c r="B36" s="6" t="s">
        <v>727</v>
      </c>
      <c r="C36" s="6" t="s">
        <v>274</v>
      </c>
      <c r="E36" s="6" t="s">
        <v>701</v>
      </c>
      <c r="F36" s="7" t="s">
        <v>728</v>
      </c>
    </row>
    <row r="37" spans="1:8" ht="32" x14ac:dyDescent="0.2">
      <c r="B37" s="6" t="s">
        <v>729</v>
      </c>
      <c r="C37" s="6" t="s">
        <v>274</v>
      </c>
      <c r="E37" s="6" t="s">
        <v>675</v>
      </c>
      <c r="F37" s="7" t="s">
        <v>730</v>
      </c>
    </row>
    <row r="38" spans="1:8" ht="32" x14ac:dyDescent="0.2">
      <c r="B38" s="6" t="s">
        <v>731</v>
      </c>
      <c r="C38" s="6" t="s">
        <v>274</v>
      </c>
      <c r="E38" s="6" t="s">
        <v>675</v>
      </c>
      <c r="F38" s="7" t="s">
        <v>732</v>
      </c>
    </row>
    <row r="39" spans="1:8" ht="31.5" customHeight="1" x14ac:dyDescent="0.2">
      <c r="B39" s="6" t="s">
        <v>733</v>
      </c>
      <c r="C39" s="6" t="s">
        <v>274</v>
      </c>
      <c r="E39" s="6" t="s">
        <v>675</v>
      </c>
      <c r="F39" s="7" t="s">
        <v>734</v>
      </c>
    </row>
    <row r="40" spans="1:8" ht="32" x14ac:dyDescent="0.2">
      <c r="B40" s="6" t="s">
        <v>735</v>
      </c>
      <c r="C40" s="6" t="s">
        <v>274</v>
      </c>
      <c r="E40" s="6" t="s">
        <v>701</v>
      </c>
      <c r="F40" s="7" t="s">
        <v>736</v>
      </c>
    </row>
    <row r="41" spans="1:8" ht="32" x14ac:dyDescent="0.2">
      <c r="B41" s="6" t="s">
        <v>737</v>
      </c>
      <c r="C41" s="6" t="s">
        <v>274</v>
      </c>
      <c r="E41" s="6" t="s">
        <v>701</v>
      </c>
      <c r="F41" s="7" t="s">
        <v>738</v>
      </c>
    </row>
    <row r="42" spans="1:8" ht="32" x14ac:dyDescent="0.2">
      <c r="B42" s="6" t="s">
        <v>739</v>
      </c>
      <c r="C42" s="6" t="s">
        <v>274</v>
      </c>
      <c r="E42" s="6" t="s">
        <v>701</v>
      </c>
      <c r="F42" s="7" t="s">
        <v>740</v>
      </c>
    </row>
    <row r="43" spans="1:8" ht="32" x14ac:dyDescent="0.2">
      <c r="B43" s="6" t="s">
        <v>741</v>
      </c>
      <c r="C43" s="6" t="s">
        <v>274</v>
      </c>
      <c r="E43" s="6" t="s">
        <v>701</v>
      </c>
      <c r="F43" s="7" t="s">
        <v>742</v>
      </c>
      <c r="H43" s="3"/>
    </row>
    <row r="44" spans="1:8" x14ac:dyDescent="0.2">
      <c r="B44" s="6" t="s">
        <v>743</v>
      </c>
      <c r="C44" s="6" t="s">
        <v>274</v>
      </c>
      <c r="E44" s="6" t="s">
        <v>701</v>
      </c>
      <c r="F44" s="6" t="s">
        <v>744</v>
      </c>
    </row>
    <row r="45" spans="1:8" hidden="1" x14ac:dyDescent="0.2">
      <c r="B45" s="6"/>
    </row>
    <row r="46" spans="1:8" hidden="1" x14ac:dyDescent="0.2">
      <c r="B46" s="6"/>
    </row>
    <row r="47" spans="1:8" x14ac:dyDescent="0.2">
      <c r="B47" s="6"/>
    </row>
    <row r="48" spans="1:8" ht="19" x14ac:dyDescent="0.25">
      <c r="A48" s="117" t="s">
        <v>2238</v>
      </c>
      <c r="B48" s="97"/>
      <c r="C48" s="97"/>
      <c r="D48" s="97"/>
      <c r="E48" s="97"/>
      <c r="F48" s="83"/>
      <c r="G48" s="95"/>
    </row>
    <row r="49" spans="1:8 1026:1026" ht="208" x14ac:dyDescent="0.2">
      <c r="A49" s="97"/>
      <c r="B49" s="98" t="s">
        <v>2235</v>
      </c>
      <c r="C49" s="99" t="s">
        <v>274</v>
      </c>
      <c r="D49" s="98" t="s">
        <v>2245</v>
      </c>
      <c r="E49" s="98" t="s">
        <v>2239</v>
      </c>
      <c r="F49" s="118" t="s">
        <v>2243</v>
      </c>
      <c r="G49" s="83" t="s">
        <v>2244</v>
      </c>
      <c r="H49" s="3"/>
      <c r="AML49" s="6"/>
    </row>
    <row r="50" spans="1:8 1026:1026" ht="208" x14ac:dyDescent="0.2">
      <c r="A50" s="97"/>
      <c r="B50" s="98" t="s">
        <v>2236</v>
      </c>
      <c r="C50" s="99" t="s">
        <v>274</v>
      </c>
      <c r="D50" s="98" t="s">
        <v>2242</v>
      </c>
      <c r="E50" s="98" t="s">
        <v>2241</v>
      </c>
      <c r="F50" s="98" t="s">
        <v>2237</v>
      </c>
      <c r="G50" s="83" t="s">
        <v>2240</v>
      </c>
      <c r="H50" s="3"/>
      <c r="AML50" s="6"/>
    </row>
    <row r="51" spans="1:8 1026:1026" x14ac:dyDescent="0.2">
      <c r="A51"/>
      <c r="B51" s="113"/>
      <c r="C51" s="114"/>
      <c r="D51" s="115"/>
      <c r="E51" s="113"/>
      <c r="F51" s="113"/>
      <c r="G51" s="7"/>
      <c r="H51" s="3"/>
      <c r="AML51" s="6"/>
    </row>
    <row r="52" spans="1:8 1026:1026" s="6" customFormat="1" ht="17.25" customHeight="1" x14ac:dyDescent="0.25">
      <c r="A52" s="116" t="s">
        <v>745</v>
      </c>
      <c r="F52" s="12"/>
    </row>
    <row r="53" spans="1:8 1026:1026" s="6" customFormat="1" ht="334.75" customHeight="1" x14ac:dyDescent="0.2">
      <c r="A53" s="11"/>
      <c r="B53" s="12" t="s">
        <v>746</v>
      </c>
      <c r="C53" s="12" t="s">
        <v>46</v>
      </c>
      <c r="D53" s="12" t="s">
        <v>747</v>
      </c>
      <c r="E53" s="6" t="s">
        <v>675</v>
      </c>
      <c r="F53" s="12" t="s">
        <v>748</v>
      </c>
      <c r="G53" s="12" t="s">
        <v>749</v>
      </c>
    </row>
    <row r="54" spans="1:8 1026:1026" x14ac:dyDescent="0.2">
      <c r="A54" s="11"/>
      <c r="B54" s="12"/>
      <c r="C54" s="12"/>
      <c r="D54" s="12"/>
      <c r="E54" s="12"/>
    </row>
    <row r="55" spans="1:8 1026:1026" ht="16" x14ac:dyDescent="0.2">
      <c r="A55" s="11" t="s">
        <v>750</v>
      </c>
      <c r="B55" s="12"/>
      <c r="C55" s="12"/>
      <c r="D55" s="12"/>
      <c r="E55" s="12"/>
    </row>
    <row r="56" spans="1:8 1026:1026" ht="68" x14ac:dyDescent="0.2">
      <c r="B56" s="6" t="s">
        <v>751</v>
      </c>
      <c r="C56" s="6" t="s">
        <v>156</v>
      </c>
      <c r="D56" s="13" t="s">
        <v>752</v>
      </c>
      <c r="F56" s="7" t="s">
        <v>753</v>
      </c>
    </row>
    <row r="57" spans="1:8 1026:1026" ht="68" x14ac:dyDescent="0.2">
      <c r="B57" s="6" t="s">
        <v>754</v>
      </c>
      <c r="C57" s="6" t="s">
        <v>156</v>
      </c>
      <c r="D57" s="13" t="s">
        <v>752</v>
      </c>
      <c r="F57" s="7" t="s">
        <v>755</v>
      </c>
    </row>
    <row r="58" spans="1:8 1026:1026" ht="16" x14ac:dyDescent="0.2">
      <c r="B58" s="6"/>
      <c r="D58" s="13"/>
    </row>
    <row r="59" spans="1:8 1026:1026" ht="32" x14ac:dyDescent="0.2">
      <c r="A59" s="6" t="s">
        <v>756</v>
      </c>
      <c r="B59" s="6"/>
      <c r="D59" s="13"/>
      <c r="G59" s="3" t="s">
        <v>757</v>
      </c>
    </row>
    <row r="60" spans="1:8 1026:1026" ht="144" x14ac:dyDescent="0.2">
      <c r="B60" s="6" t="s">
        <v>758</v>
      </c>
      <c r="C60" s="6" t="s">
        <v>46</v>
      </c>
      <c r="D60" s="3" t="s">
        <v>759</v>
      </c>
      <c r="F60" s="7" t="s">
        <v>760</v>
      </c>
      <c r="G60" s="3" t="s">
        <v>761</v>
      </c>
    </row>
    <row r="61" spans="1:8 1026:1026" ht="194.25" customHeight="1" x14ac:dyDescent="0.2">
      <c r="B61" s="6" t="s">
        <v>762</v>
      </c>
      <c r="C61" s="6" t="s">
        <v>46</v>
      </c>
      <c r="D61" s="3" t="s">
        <v>763</v>
      </c>
      <c r="F61" s="7" t="s">
        <v>764</v>
      </c>
      <c r="G61" s="3" t="s">
        <v>765</v>
      </c>
    </row>
    <row r="62" spans="1:8 1026:1026" x14ac:dyDescent="0.2">
      <c r="B62" s="6"/>
    </row>
    <row r="63" spans="1:8 1026:1026" x14ac:dyDescent="0.2">
      <c r="B63" s="6"/>
    </row>
    <row r="64" spans="1:8 1026:1026" ht="32" x14ac:dyDescent="0.2">
      <c r="A64" s="6" t="s">
        <v>766</v>
      </c>
      <c r="B64" s="6"/>
      <c r="G64" s="3" t="s">
        <v>767</v>
      </c>
    </row>
    <row r="65" spans="2:7" ht="48" x14ac:dyDescent="0.2">
      <c r="B65" s="6" t="s">
        <v>768</v>
      </c>
      <c r="C65" s="6" t="s">
        <v>274</v>
      </c>
      <c r="D65" s="3" t="s">
        <v>2230</v>
      </c>
      <c r="F65" s="7" t="s">
        <v>769</v>
      </c>
    </row>
    <row r="66" spans="2:7" ht="48" x14ac:dyDescent="0.2">
      <c r="B66" s="6" t="s">
        <v>770</v>
      </c>
      <c r="C66" s="6" t="s">
        <v>274</v>
      </c>
      <c r="D66" s="3" t="s">
        <v>2230</v>
      </c>
      <c r="E66" s="6" t="s">
        <v>675</v>
      </c>
      <c r="F66" s="7" t="s">
        <v>771</v>
      </c>
    </row>
    <row r="67" spans="2:7" ht="48" x14ac:dyDescent="0.2">
      <c r="B67" s="6" t="s">
        <v>772</v>
      </c>
      <c r="C67" s="6" t="s">
        <v>274</v>
      </c>
      <c r="D67" s="3" t="s">
        <v>2230</v>
      </c>
      <c r="E67" s="6" t="s">
        <v>675</v>
      </c>
      <c r="F67" s="7" t="s">
        <v>773</v>
      </c>
    </row>
    <row r="68" spans="2:7" ht="48" x14ac:dyDescent="0.2">
      <c r="B68" s="6" t="s">
        <v>774</v>
      </c>
      <c r="C68" s="6" t="s">
        <v>274</v>
      </c>
      <c r="D68" s="3" t="s">
        <v>2230</v>
      </c>
      <c r="E68" s="6" t="s">
        <v>675</v>
      </c>
      <c r="F68" s="7" t="s">
        <v>775</v>
      </c>
      <c r="G68" s="3" t="s">
        <v>776</v>
      </c>
    </row>
    <row r="69" spans="2:7" ht="48" x14ac:dyDescent="0.2">
      <c r="B69" s="6" t="s">
        <v>777</v>
      </c>
      <c r="C69" s="6" t="s">
        <v>274</v>
      </c>
      <c r="D69" s="3" t="s">
        <v>2230</v>
      </c>
      <c r="E69" s="6" t="s">
        <v>675</v>
      </c>
      <c r="F69" s="7" t="s">
        <v>778</v>
      </c>
      <c r="G69" s="3" t="s">
        <v>779</v>
      </c>
    </row>
    <row r="70" spans="2:7" ht="48" x14ac:dyDescent="0.2">
      <c r="B70" s="6" t="s">
        <v>780</v>
      </c>
      <c r="C70" s="6" t="s">
        <v>274</v>
      </c>
      <c r="D70" s="3" t="s">
        <v>2230</v>
      </c>
      <c r="E70" s="6" t="s">
        <v>675</v>
      </c>
      <c r="F70" s="7" t="s">
        <v>781</v>
      </c>
    </row>
    <row r="71" spans="2:7" ht="48" x14ac:dyDescent="0.2">
      <c r="B71" s="6" t="s">
        <v>782</v>
      </c>
      <c r="C71" s="6" t="s">
        <v>274</v>
      </c>
      <c r="D71" s="3" t="s">
        <v>2230</v>
      </c>
      <c r="E71" s="6" t="s">
        <v>675</v>
      </c>
      <c r="F71" s="7" t="s">
        <v>783</v>
      </c>
      <c r="G71" s="3" t="s">
        <v>784</v>
      </c>
    </row>
    <row r="72" spans="2:7" ht="48" x14ac:dyDescent="0.2">
      <c r="B72" s="6" t="s">
        <v>785</v>
      </c>
      <c r="C72" s="6" t="s">
        <v>274</v>
      </c>
      <c r="D72" s="3" t="s">
        <v>2230</v>
      </c>
      <c r="E72" s="6" t="s">
        <v>675</v>
      </c>
      <c r="F72" s="7" t="s">
        <v>786</v>
      </c>
      <c r="G72" s="3" t="s">
        <v>787</v>
      </c>
    </row>
    <row r="73" spans="2:7" ht="48" x14ac:dyDescent="0.2">
      <c r="B73" s="6" t="s">
        <v>788</v>
      </c>
      <c r="C73" s="6" t="s">
        <v>274</v>
      </c>
      <c r="D73" s="3" t="s">
        <v>2230</v>
      </c>
      <c r="E73" s="6" t="s">
        <v>701</v>
      </c>
      <c r="F73" s="7" t="s">
        <v>789</v>
      </c>
      <c r="G73" s="3" t="s">
        <v>784</v>
      </c>
    </row>
    <row r="74" spans="2:7" ht="48" x14ac:dyDescent="0.2">
      <c r="B74" s="6" t="s">
        <v>790</v>
      </c>
      <c r="C74" s="6" t="s">
        <v>274</v>
      </c>
      <c r="D74" s="3" t="s">
        <v>2230</v>
      </c>
      <c r="E74" s="6" t="s">
        <v>675</v>
      </c>
      <c r="F74" s="7" t="s">
        <v>791</v>
      </c>
    </row>
    <row r="75" spans="2:7" ht="48" x14ac:dyDescent="0.2">
      <c r="B75" s="6" t="s">
        <v>792</v>
      </c>
      <c r="C75" s="6" t="s">
        <v>274</v>
      </c>
      <c r="D75" s="3" t="s">
        <v>2230</v>
      </c>
      <c r="E75" s="6" t="s">
        <v>701</v>
      </c>
      <c r="F75" s="7" t="s">
        <v>793</v>
      </c>
      <c r="G75" s="3" t="s">
        <v>794</v>
      </c>
    </row>
    <row r="76" spans="2:7" ht="48" x14ac:dyDescent="0.2">
      <c r="B76" s="6" t="s">
        <v>795</v>
      </c>
      <c r="C76" s="6" t="s">
        <v>274</v>
      </c>
      <c r="D76" s="3" t="s">
        <v>2230</v>
      </c>
      <c r="E76" s="6" t="s">
        <v>675</v>
      </c>
      <c r="F76" s="7" t="s">
        <v>796</v>
      </c>
    </row>
    <row r="77" spans="2:7" ht="48" x14ac:dyDescent="0.2">
      <c r="B77" s="6" t="s">
        <v>797</v>
      </c>
      <c r="C77" s="6" t="s">
        <v>274</v>
      </c>
      <c r="D77" s="3" t="s">
        <v>2230</v>
      </c>
      <c r="E77" s="6" t="s">
        <v>675</v>
      </c>
      <c r="F77" s="7" t="s">
        <v>798</v>
      </c>
      <c r="G77" s="3" t="s">
        <v>799</v>
      </c>
    </row>
    <row r="78" spans="2:7" ht="48" x14ac:dyDescent="0.2">
      <c r="B78" s="6" t="s">
        <v>800</v>
      </c>
      <c r="C78" s="6" t="s">
        <v>274</v>
      </c>
      <c r="D78" s="3" t="s">
        <v>2230</v>
      </c>
      <c r="E78" s="6" t="s">
        <v>675</v>
      </c>
      <c r="F78" s="7" t="s">
        <v>801</v>
      </c>
      <c r="G78" s="3" t="s">
        <v>802</v>
      </c>
    </row>
    <row r="79" spans="2:7" ht="48" x14ac:dyDescent="0.2">
      <c r="B79" s="6" t="s">
        <v>803</v>
      </c>
      <c r="C79" s="6" t="s">
        <v>274</v>
      </c>
      <c r="D79" s="3" t="s">
        <v>2230</v>
      </c>
      <c r="E79" s="6" t="s">
        <v>675</v>
      </c>
      <c r="F79" s="7" t="s">
        <v>804</v>
      </c>
      <c r="G79" s="3" t="s">
        <v>805</v>
      </c>
    </row>
    <row r="80" spans="2:7" ht="48" x14ac:dyDescent="0.2">
      <c r="B80" s="6" t="s">
        <v>806</v>
      </c>
      <c r="C80" s="6" t="s">
        <v>274</v>
      </c>
      <c r="D80" s="3" t="s">
        <v>2230</v>
      </c>
      <c r="E80" s="6" t="s">
        <v>675</v>
      </c>
      <c r="F80" s="7" t="s">
        <v>807</v>
      </c>
      <c r="G80" s="3" t="s">
        <v>808</v>
      </c>
    </row>
    <row r="81" spans="1:7" ht="48" x14ac:dyDescent="0.2">
      <c r="B81" s="6" t="s">
        <v>809</v>
      </c>
      <c r="C81" s="6" t="s">
        <v>274</v>
      </c>
      <c r="D81" s="3" t="s">
        <v>2230</v>
      </c>
      <c r="E81" s="6" t="s">
        <v>675</v>
      </c>
      <c r="F81" s="7" t="s">
        <v>810</v>
      </c>
    </row>
    <row r="82" spans="1:7" ht="48" x14ac:dyDescent="0.2">
      <c r="B82" s="6" t="s">
        <v>811</v>
      </c>
      <c r="C82" s="6" t="s">
        <v>274</v>
      </c>
      <c r="D82" s="3" t="s">
        <v>2230</v>
      </c>
      <c r="E82" s="6" t="s">
        <v>675</v>
      </c>
      <c r="F82" s="7" t="s">
        <v>812</v>
      </c>
    </row>
    <row r="83" spans="1:7" ht="48" x14ac:dyDescent="0.2">
      <c r="B83" s="6" t="s">
        <v>813</v>
      </c>
      <c r="C83" s="6" t="s">
        <v>274</v>
      </c>
      <c r="D83" s="3" t="s">
        <v>2230</v>
      </c>
      <c r="E83" s="6" t="s">
        <v>675</v>
      </c>
      <c r="F83" s="7" t="s">
        <v>814</v>
      </c>
      <c r="G83" s="3" t="s">
        <v>815</v>
      </c>
    </row>
    <row r="84" spans="1:7" ht="48" x14ac:dyDescent="0.2">
      <c r="B84" s="6" t="s">
        <v>816</v>
      </c>
      <c r="C84" s="6" t="s">
        <v>274</v>
      </c>
      <c r="D84" s="3" t="s">
        <v>2230</v>
      </c>
      <c r="E84" s="6" t="s">
        <v>675</v>
      </c>
      <c r="F84" s="7" t="s">
        <v>817</v>
      </c>
      <c r="G84" s="3" t="s">
        <v>818</v>
      </c>
    </row>
    <row r="85" spans="1:7" x14ac:dyDescent="0.2">
      <c r="B85" s="6"/>
      <c r="E85" s="6" t="s">
        <v>701</v>
      </c>
    </row>
    <row r="86" spans="1:7" x14ac:dyDescent="0.2">
      <c r="B86" s="6"/>
      <c r="E86" s="6" t="s">
        <v>701</v>
      </c>
    </row>
    <row r="87" spans="1:7" ht="32" x14ac:dyDescent="0.2">
      <c r="A87" s="6" t="s">
        <v>819</v>
      </c>
      <c r="B87" s="6"/>
      <c r="G87" s="3" t="s">
        <v>820</v>
      </c>
    </row>
    <row r="88" spans="1:7" ht="48" x14ac:dyDescent="0.2">
      <c r="B88" s="6" t="s">
        <v>821</v>
      </c>
      <c r="C88" s="6" t="s">
        <v>274</v>
      </c>
      <c r="D88" s="3" t="s">
        <v>2230</v>
      </c>
      <c r="F88" s="7" t="s">
        <v>822</v>
      </c>
    </row>
    <row r="89" spans="1:7" ht="48" x14ac:dyDescent="0.2">
      <c r="B89" s="6" t="s">
        <v>823</v>
      </c>
      <c r="C89" s="6" t="s">
        <v>274</v>
      </c>
      <c r="D89" s="3" t="s">
        <v>2230</v>
      </c>
      <c r="F89" s="7" t="s">
        <v>824</v>
      </c>
    </row>
    <row r="90" spans="1:7" ht="48" x14ac:dyDescent="0.2">
      <c r="B90" s="6" t="s">
        <v>825</v>
      </c>
      <c r="C90" s="6" t="s">
        <v>274</v>
      </c>
      <c r="D90" s="3" t="s">
        <v>2230</v>
      </c>
      <c r="E90" s="6" t="s">
        <v>675</v>
      </c>
      <c r="F90" s="7" t="s">
        <v>826</v>
      </c>
      <c r="G90" s="3" t="s">
        <v>827</v>
      </c>
    </row>
    <row r="91" spans="1:7" ht="48" x14ac:dyDescent="0.2">
      <c r="B91" s="6" t="s">
        <v>828</v>
      </c>
      <c r="C91" s="6" t="s">
        <v>274</v>
      </c>
      <c r="D91" s="3" t="s">
        <v>2230</v>
      </c>
      <c r="E91" s="6" t="s">
        <v>675</v>
      </c>
      <c r="F91" s="7" t="s">
        <v>829</v>
      </c>
      <c r="G91" s="3" t="s">
        <v>830</v>
      </c>
    </row>
    <row r="92" spans="1:7" ht="48" x14ac:dyDescent="0.2">
      <c r="B92" s="6" t="s">
        <v>831</v>
      </c>
      <c r="C92" s="6" t="s">
        <v>274</v>
      </c>
      <c r="D92" s="3" t="s">
        <v>2230</v>
      </c>
      <c r="E92" s="6" t="s">
        <v>675</v>
      </c>
      <c r="F92" s="7" t="s">
        <v>832</v>
      </c>
    </row>
    <row r="93" spans="1:7" ht="48" x14ac:dyDescent="0.2">
      <c r="B93" s="6" t="s">
        <v>833</v>
      </c>
      <c r="C93" s="6" t="s">
        <v>274</v>
      </c>
      <c r="D93" s="3" t="s">
        <v>2230</v>
      </c>
      <c r="E93" s="6" t="s">
        <v>675</v>
      </c>
      <c r="F93" s="7" t="s">
        <v>834</v>
      </c>
      <c r="G93" s="3" t="s">
        <v>835</v>
      </c>
    </row>
    <row r="94" spans="1:7" ht="48" x14ac:dyDescent="0.2">
      <c r="B94" s="6" t="s">
        <v>836</v>
      </c>
      <c r="C94" s="6" t="s">
        <v>274</v>
      </c>
      <c r="D94" s="3" t="s">
        <v>2230</v>
      </c>
      <c r="E94" s="6" t="s">
        <v>675</v>
      </c>
      <c r="F94" s="7" t="s">
        <v>837</v>
      </c>
    </row>
    <row r="95" spans="1:7" ht="48" x14ac:dyDescent="0.2">
      <c r="B95" s="6" t="s">
        <v>838</v>
      </c>
      <c r="C95" s="6" t="s">
        <v>274</v>
      </c>
      <c r="D95" s="3" t="s">
        <v>2230</v>
      </c>
      <c r="E95" s="6" t="s">
        <v>675</v>
      </c>
      <c r="F95" s="7" t="s">
        <v>839</v>
      </c>
    </row>
    <row r="96" spans="1:7" ht="48" x14ac:dyDescent="0.2">
      <c r="B96" s="6" t="s">
        <v>840</v>
      </c>
      <c r="C96" s="6" t="s">
        <v>274</v>
      </c>
      <c r="D96" s="3" t="s">
        <v>2230</v>
      </c>
      <c r="E96" s="6" t="s">
        <v>675</v>
      </c>
      <c r="F96" s="7" t="s">
        <v>841</v>
      </c>
    </row>
    <row r="97" spans="1:7" x14ac:dyDescent="0.2">
      <c r="B97" s="6"/>
      <c r="E97" s="6" t="s">
        <v>675</v>
      </c>
    </row>
    <row r="98" spans="1:7" ht="32" x14ac:dyDescent="0.2">
      <c r="A98" s="6" t="s">
        <v>842</v>
      </c>
      <c r="B98" s="6"/>
      <c r="E98" s="6" t="s">
        <v>675</v>
      </c>
      <c r="G98" s="3" t="s">
        <v>843</v>
      </c>
    </row>
    <row r="99" spans="1:7" ht="48" x14ac:dyDescent="0.2">
      <c r="B99" s="6" t="s">
        <v>844</v>
      </c>
      <c r="C99" s="6" t="s">
        <v>274</v>
      </c>
      <c r="D99" s="3" t="s">
        <v>2230</v>
      </c>
      <c r="E99" s="6" t="s">
        <v>675</v>
      </c>
      <c r="F99" s="7" t="s">
        <v>845</v>
      </c>
    </row>
    <row r="100" spans="1:7" ht="48" x14ac:dyDescent="0.2">
      <c r="B100" s="6" t="s">
        <v>846</v>
      </c>
      <c r="C100" s="6" t="s">
        <v>274</v>
      </c>
      <c r="D100" s="3" t="s">
        <v>2230</v>
      </c>
      <c r="E100" s="6" t="s">
        <v>675</v>
      </c>
      <c r="F100" s="7" t="s">
        <v>847</v>
      </c>
    </row>
    <row r="101" spans="1:7" ht="48" x14ac:dyDescent="0.2">
      <c r="B101" s="6" t="s">
        <v>848</v>
      </c>
      <c r="C101" s="6" t="s">
        <v>274</v>
      </c>
      <c r="D101" s="3" t="s">
        <v>2230</v>
      </c>
      <c r="E101" s="6" t="s">
        <v>675</v>
      </c>
      <c r="F101" s="7" t="s">
        <v>849</v>
      </c>
    </row>
    <row r="102" spans="1:7" ht="48" x14ac:dyDescent="0.2">
      <c r="B102" s="6" t="s">
        <v>850</v>
      </c>
      <c r="C102" s="6" t="s">
        <v>274</v>
      </c>
      <c r="D102" s="3" t="s">
        <v>2230</v>
      </c>
      <c r="E102" s="6" t="s">
        <v>675</v>
      </c>
      <c r="F102" s="7" t="s">
        <v>851</v>
      </c>
    </row>
    <row r="103" spans="1:7" ht="48" x14ac:dyDescent="0.2">
      <c r="B103" s="6" t="s">
        <v>852</v>
      </c>
      <c r="C103" s="6" t="s">
        <v>274</v>
      </c>
      <c r="D103" s="3" t="s">
        <v>2230</v>
      </c>
      <c r="E103" s="6" t="s">
        <v>701</v>
      </c>
      <c r="F103" s="7" t="s">
        <v>853</v>
      </c>
    </row>
    <row r="104" spans="1:7" ht="48" x14ac:dyDescent="0.2">
      <c r="B104" s="6" t="s">
        <v>854</v>
      </c>
      <c r="C104" s="6" t="s">
        <v>274</v>
      </c>
      <c r="D104" s="3" t="s">
        <v>2230</v>
      </c>
      <c r="E104" s="6" t="s">
        <v>675</v>
      </c>
      <c r="F104" s="7" t="s">
        <v>855</v>
      </c>
    </row>
    <row r="105" spans="1:7" ht="48" x14ac:dyDescent="0.2">
      <c r="B105" s="6" t="s">
        <v>856</v>
      </c>
      <c r="C105" s="6" t="s">
        <v>274</v>
      </c>
      <c r="D105" s="3" t="s">
        <v>2230</v>
      </c>
      <c r="E105" s="6" t="s">
        <v>675</v>
      </c>
      <c r="F105" s="7" t="s">
        <v>857</v>
      </c>
    </row>
    <row r="106" spans="1:7" ht="48" x14ac:dyDescent="0.2">
      <c r="B106" s="6" t="s">
        <v>858</v>
      </c>
      <c r="C106" s="6" t="s">
        <v>274</v>
      </c>
      <c r="D106" s="3" t="s">
        <v>2230</v>
      </c>
      <c r="E106" s="6" t="s">
        <v>675</v>
      </c>
      <c r="F106" s="7" t="s">
        <v>859</v>
      </c>
    </row>
    <row r="107" spans="1:7" ht="48" x14ac:dyDescent="0.2">
      <c r="B107" s="6" t="s">
        <v>860</v>
      </c>
      <c r="C107" s="6" t="s">
        <v>274</v>
      </c>
      <c r="D107" s="3" t="s">
        <v>2230</v>
      </c>
      <c r="E107" s="6" t="s">
        <v>675</v>
      </c>
      <c r="F107" s="7" t="s">
        <v>861</v>
      </c>
    </row>
    <row r="108" spans="1:7" ht="48" x14ac:dyDescent="0.2">
      <c r="B108" s="6" t="s">
        <v>862</v>
      </c>
      <c r="C108" s="6" t="s">
        <v>274</v>
      </c>
      <c r="D108" s="3" t="s">
        <v>2230</v>
      </c>
      <c r="E108" s="6" t="s">
        <v>675</v>
      </c>
      <c r="F108" s="7" t="s">
        <v>863</v>
      </c>
    </row>
    <row r="109" spans="1:7" ht="48" x14ac:dyDescent="0.2">
      <c r="B109" s="6" t="s">
        <v>864</v>
      </c>
      <c r="C109" s="6" t="s">
        <v>274</v>
      </c>
      <c r="D109" s="3" t="s">
        <v>2230</v>
      </c>
      <c r="E109" s="6" t="s">
        <v>675</v>
      </c>
      <c r="F109" s="7" t="s">
        <v>865</v>
      </c>
    </row>
    <row r="110" spans="1:7" ht="48" x14ac:dyDescent="0.2">
      <c r="B110" s="6" t="s">
        <v>866</v>
      </c>
      <c r="C110" s="6" t="s">
        <v>274</v>
      </c>
      <c r="D110" s="3" t="s">
        <v>2230</v>
      </c>
      <c r="E110" s="6" t="s">
        <v>675</v>
      </c>
      <c r="F110" s="7" t="s">
        <v>867</v>
      </c>
    </row>
    <row r="111" spans="1:7" ht="48" x14ac:dyDescent="0.2">
      <c r="B111" s="6" t="s">
        <v>868</v>
      </c>
      <c r="C111" s="6" t="s">
        <v>274</v>
      </c>
      <c r="D111" s="3" t="s">
        <v>2230</v>
      </c>
      <c r="E111" s="6" t="s">
        <v>675</v>
      </c>
      <c r="F111" s="7" t="s">
        <v>869</v>
      </c>
    </row>
    <row r="112" spans="1:7" ht="48" x14ac:dyDescent="0.2">
      <c r="B112" s="6" t="s">
        <v>870</v>
      </c>
      <c r="C112" s="6" t="s">
        <v>274</v>
      </c>
      <c r="D112" s="3" t="s">
        <v>2230</v>
      </c>
      <c r="E112" s="6" t="s">
        <v>675</v>
      </c>
      <c r="F112" s="7" t="s">
        <v>871</v>
      </c>
    </row>
    <row r="113" spans="1:7" ht="48" x14ac:dyDescent="0.2">
      <c r="B113" s="6" t="s">
        <v>872</v>
      </c>
      <c r="C113" s="6" t="s">
        <v>274</v>
      </c>
      <c r="D113" s="3" t="s">
        <v>2230</v>
      </c>
      <c r="E113" s="6" t="s">
        <v>675</v>
      </c>
      <c r="F113" s="7" t="s">
        <v>873</v>
      </c>
      <c r="G113" s="3" t="s">
        <v>874</v>
      </c>
    </row>
    <row r="114" spans="1:7" x14ac:dyDescent="0.2">
      <c r="B114" s="6"/>
      <c r="E114" s="6" t="s">
        <v>675</v>
      </c>
    </row>
    <row r="115" spans="1:7" x14ac:dyDescent="0.2">
      <c r="A115" s="6" t="s">
        <v>875</v>
      </c>
      <c r="B115" s="6"/>
      <c r="E115" s="6" t="s">
        <v>675</v>
      </c>
    </row>
    <row r="116" spans="1:7" ht="64" x14ac:dyDescent="0.2">
      <c r="B116" s="6" t="s">
        <v>876</v>
      </c>
      <c r="C116" s="6" t="s">
        <v>174</v>
      </c>
      <c r="D116" s="3" t="s">
        <v>2227</v>
      </c>
      <c r="F116" s="7" t="s">
        <v>877</v>
      </c>
      <c r="G116" s="3" t="s">
        <v>878</v>
      </c>
    </row>
    <row r="117" spans="1:7" ht="64" x14ac:dyDescent="0.2">
      <c r="B117" s="6" t="s">
        <v>879</v>
      </c>
      <c r="C117" s="6" t="s">
        <v>274</v>
      </c>
      <c r="D117" s="3" t="s">
        <v>2227</v>
      </c>
      <c r="F117" s="7" t="s">
        <v>880</v>
      </c>
    </row>
    <row r="118" spans="1:7" s="6" customFormat="1" ht="176" x14ac:dyDescent="0.2">
      <c r="C118" s="6" t="s">
        <v>174</v>
      </c>
      <c r="D118" s="3" t="s">
        <v>2228</v>
      </c>
      <c r="E118" s="6" t="s">
        <v>675</v>
      </c>
      <c r="F118" s="7" t="s">
        <v>881</v>
      </c>
      <c r="G118" s="3" t="s">
        <v>882</v>
      </c>
    </row>
    <row r="119" spans="1:7" ht="80" x14ac:dyDescent="0.2">
      <c r="B119" s="6" t="s">
        <v>883</v>
      </c>
      <c r="C119" s="6" t="s">
        <v>274</v>
      </c>
      <c r="D119" s="3" t="s">
        <v>2229</v>
      </c>
      <c r="E119" s="6" t="s">
        <v>675</v>
      </c>
      <c r="F119" s="7" t="s">
        <v>884</v>
      </c>
    </row>
    <row r="120" spans="1:7" ht="80" x14ac:dyDescent="0.2">
      <c r="B120" s="6" t="s">
        <v>885</v>
      </c>
      <c r="C120" s="6" t="s">
        <v>274</v>
      </c>
      <c r="D120" s="3" t="s">
        <v>2229</v>
      </c>
      <c r="E120" s="6" t="s">
        <v>675</v>
      </c>
      <c r="F120" s="7" t="s">
        <v>886</v>
      </c>
    </row>
    <row r="121" spans="1:7" ht="80" x14ac:dyDescent="0.2">
      <c r="B121" s="6" t="s">
        <v>887</v>
      </c>
      <c r="C121" s="6" t="s">
        <v>274</v>
      </c>
      <c r="D121" s="3" t="s">
        <v>2229</v>
      </c>
      <c r="E121" s="6" t="s">
        <v>675</v>
      </c>
      <c r="F121" s="7" t="s">
        <v>888</v>
      </c>
    </row>
    <row r="122" spans="1:7" x14ac:dyDescent="0.2">
      <c r="B122" s="6"/>
      <c r="E122" s="6" t="s">
        <v>675</v>
      </c>
    </row>
    <row r="123" spans="1:7" x14ac:dyDescent="0.2">
      <c r="B123" s="6"/>
      <c r="E123" s="6" t="s">
        <v>675</v>
      </c>
    </row>
    <row r="124" spans="1:7" s="14" customFormat="1" ht="48" x14ac:dyDescent="0.2">
      <c r="A124" s="1" t="s">
        <v>889</v>
      </c>
      <c r="B124" s="1"/>
      <c r="C124" s="1"/>
      <c r="D124" s="1"/>
      <c r="E124" s="6"/>
      <c r="F124" s="4"/>
      <c r="G124" s="2" t="s">
        <v>890</v>
      </c>
    </row>
    <row r="125" spans="1:7" s="14" customFormat="1" ht="32" x14ac:dyDescent="0.2">
      <c r="A125" s="1"/>
      <c r="B125" s="1" t="s">
        <v>891</v>
      </c>
      <c r="C125" s="1" t="s">
        <v>174</v>
      </c>
      <c r="D125" s="1" t="s">
        <v>892</v>
      </c>
      <c r="E125" s="6"/>
      <c r="F125" s="4" t="s">
        <v>893</v>
      </c>
      <c r="G125" s="2"/>
    </row>
    <row r="126" spans="1:7" s="14" customFormat="1" ht="32" x14ac:dyDescent="0.2">
      <c r="A126" s="1"/>
      <c r="B126" s="1" t="s">
        <v>894</v>
      </c>
      <c r="C126" s="1" t="s">
        <v>174</v>
      </c>
      <c r="D126" s="1" t="s">
        <v>892</v>
      </c>
      <c r="E126" s="1"/>
      <c r="F126" s="4" t="s">
        <v>895</v>
      </c>
      <c r="G126" s="2"/>
    </row>
    <row r="127" spans="1:7" s="14" customFormat="1" ht="48" x14ac:dyDescent="0.2">
      <c r="A127" s="1"/>
      <c r="B127" s="1" t="s">
        <v>896</v>
      </c>
      <c r="C127" s="1" t="s">
        <v>174</v>
      </c>
      <c r="D127" s="1" t="s">
        <v>892</v>
      </c>
      <c r="E127" s="1" t="s">
        <v>675</v>
      </c>
      <c r="F127" s="4" t="s">
        <v>897</v>
      </c>
      <c r="G127" s="2"/>
    </row>
    <row r="128" spans="1:7" s="14" customFormat="1" ht="48" x14ac:dyDescent="0.2">
      <c r="A128" s="1"/>
      <c r="B128" s="1" t="s">
        <v>898</v>
      </c>
      <c r="C128" s="1" t="s">
        <v>174</v>
      </c>
      <c r="D128" s="1" t="s">
        <v>892</v>
      </c>
      <c r="E128" s="1" t="s">
        <v>675</v>
      </c>
      <c r="F128" s="4" t="s">
        <v>899</v>
      </c>
      <c r="G128" s="2"/>
    </row>
    <row r="129" spans="1:7" s="14" customFormat="1" ht="32" x14ac:dyDescent="0.2">
      <c r="A129" s="1"/>
      <c r="B129" s="1" t="s">
        <v>900</v>
      </c>
      <c r="C129" s="1" t="s">
        <v>274</v>
      </c>
      <c r="D129" s="1" t="s">
        <v>892</v>
      </c>
      <c r="E129" s="1" t="s">
        <v>675</v>
      </c>
      <c r="F129" s="4" t="s">
        <v>901</v>
      </c>
      <c r="G129" s="2"/>
    </row>
    <row r="130" spans="1:7" s="14" customFormat="1" ht="48" x14ac:dyDescent="0.2">
      <c r="A130" s="1"/>
      <c r="B130" s="1" t="s">
        <v>902</v>
      </c>
      <c r="C130" s="1" t="s">
        <v>274</v>
      </c>
      <c r="D130" s="1" t="s">
        <v>892</v>
      </c>
      <c r="E130" s="1" t="s">
        <v>675</v>
      </c>
      <c r="F130" s="4" t="s">
        <v>903</v>
      </c>
      <c r="G130" s="2"/>
    </row>
    <row r="131" spans="1:7" x14ac:dyDescent="0.2">
      <c r="A131" s="1"/>
      <c r="B131" s="1"/>
      <c r="C131" s="1"/>
      <c r="D131" s="1"/>
      <c r="E131" s="1" t="s">
        <v>675</v>
      </c>
      <c r="F131" s="4"/>
      <c r="G131" s="2"/>
    </row>
    <row r="132" spans="1:7" x14ac:dyDescent="0.2">
      <c r="A132" s="1"/>
      <c r="B132" s="1"/>
      <c r="C132" s="1"/>
      <c r="D132" s="1"/>
      <c r="E132" s="1" t="s">
        <v>675</v>
      </c>
      <c r="F132" s="4"/>
      <c r="G132" s="2"/>
    </row>
    <row r="133" spans="1:7" x14ac:dyDescent="0.2">
      <c r="A133" s="1"/>
      <c r="B133" s="1"/>
      <c r="C133" s="1"/>
      <c r="D133" s="1"/>
      <c r="E133" s="1"/>
      <c r="F133" s="4"/>
      <c r="G133" s="2"/>
    </row>
    <row r="134" spans="1:7" ht="32" x14ac:dyDescent="0.2">
      <c r="A134" s="6" t="s">
        <v>904</v>
      </c>
      <c r="B134" s="6"/>
      <c r="E134" s="1"/>
      <c r="G134" s="3" t="s">
        <v>905</v>
      </c>
    </row>
    <row r="135" spans="1:7" ht="48" x14ac:dyDescent="0.2">
      <c r="B135" s="6" t="s">
        <v>906</v>
      </c>
      <c r="C135" s="6" t="s">
        <v>274</v>
      </c>
      <c r="D135" s="3" t="s">
        <v>2230</v>
      </c>
      <c r="E135" s="1"/>
      <c r="F135" s="7" t="s">
        <v>907</v>
      </c>
    </row>
    <row r="136" spans="1:7" ht="48" x14ac:dyDescent="0.2">
      <c r="B136" s="6" t="s">
        <v>908</v>
      </c>
      <c r="C136" s="6" t="s">
        <v>274</v>
      </c>
      <c r="D136" s="3" t="s">
        <v>2230</v>
      </c>
      <c r="F136" s="7" t="s">
        <v>909</v>
      </c>
    </row>
    <row r="137" spans="1:7" ht="48" x14ac:dyDescent="0.2">
      <c r="B137" s="6" t="s">
        <v>910</v>
      </c>
      <c r="C137" s="6" t="s">
        <v>274</v>
      </c>
      <c r="D137" s="3" t="s">
        <v>2230</v>
      </c>
      <c r="E137" s="6" t="s">
        <v>701</v>
      </c>
      <c r="F137" s="7" t="s">
        <v>911</v>
      </c>
    </row>
    <row r="138" spans="1:7" ht="48" x14ac:dyDescent="0.2">
      <c r="B138" s="6" t="s">
        <v>912</v>
      </c>
      <c r="C138" s="6" t="s">
        <v>274</v>
      </c>
      <c r="D138" s="3" t="s">
        <v>2230</v>
      </c>
      <c r="E138" s="6" t="s">
        <v>701</v>
      </c>
      <c r="F138" s="7" t="s">
        <v>913</v>
      </c>
    </row>
    <row r="139" spans="1:7" ht="48" x14ac:dyDescent="0.2">
      <c r="B139" s="6" t="s">
        <v>914</v>
      </c>
      <c r="C139" s="6" t="s">
        <v>274</v>
      </c>
      <c r="D139" s="3" t="s">
        <v>2230</v>
      </c>
      <c r="E139" s="6" t="s">
        <v>675</v>
      </c>
      <c r="F139" s="7" t="s">
        <v>915</v>
      </c>
    </row>
    <row r="140" spans="1:7" ht="48" x14ac:dyDescent="0.2">
      <c r="B140" s="6" t="s">
        <v>916</v>
      </c>
      <c r="C140" s="6" t="s">
        <v>274</v>
      </c>
      <c r="D140" s="3" t="s">
        <v>2230</v>
      </c>
      <c r="E140" s="6" t="s">
        <v>675</v>
      </c>
      <c r="F140" s="7" t="s">
        <v>917</v>
      </c>
    </row>
    <row r="141" spans="1:7" ht="48" x14ac:dyDescent="0.2">
      <c r="B141" s="6" t="s">
        <v>918</v>
      </c>
      <c r="C141" s="6" t="s">
        <v>274</v>
      </c>
      <c r="D141" s="3" t="s">
        <v>2230</v>
      </c>
      <c r="E141" s="6" t="s">
        <v>675</v>
      </c>
      <c r="F141" s="7" t="s">
        <v>919</v>
      </c>
    </row>
    <row r="142" spans="1:7" ht="48" x14ac:dyDescent="0.2">
      <c r="B142" s="6" t="s">
        <v>920</v>
      </c>
      <c r="C142" s="6" t="s">
        <v>274</v>
      </c>
      <c r="D142" s="3" t="s">
        <v>2230</v>
      </c>
      <c r="E142" s="6" t="s">
        <v>675</v>
      </c>
      <c r="F142" s="7" t="s">
        <v>921</v>
      </c>
      <c r="G142" s="3" t="s">
        <v>922</v>
      </c>
    </row>
    <row r="143" spans="1:7" ht="48" x14ac:dyDescent="0.2">
      <c r="B143" s="6" t="s">
        <v>923</v>
      </c>
      <c r="C143" s="6" t="s">
        <v>274</v>
      </c>
      <c r="D143" s="3" t="s">
        <v>2230</v>
      </c>
      <c r="E143" s="6" t="s">
        <v>675</v>
      </c>
      <c r="F143" s="7" t="s">
        <v>924</v>
      </c>
    </row>
    <row r="144" spans="1:7" x14ac:dyDescent="0.2">
      <c r="B144" s="6"/>
      <c r="E144" s="6" t="s">
        <v>701</v>
      </c>
    </row>
    <row r="145" spans="2:6" x14ac:dyDescent="0.2">
      <c r="B145" s="6"/>
      <c r="E145" s="6" t="s">
        <v>675</v>
      </c>
    </row>
    <row r="146" spans="2:6" x14ac:dyDescent="0.2">
      <c r="B146" s="6"/>
      <c r="D146" s="3"/>
    </row>
    <row r="147" spans="2:6" x14ac:dyDescent="0.2">
      <c r="B147" s="6"/>
      <c r="D147" s="3"/>
    </row>
    <row r="148" spans="2:6" x14ac:dyDescent="0.2">
      <c r="B148" s="6"/>
    </row>
    <row r="149" spans="2:6" x14ac:dyDescent="0.2">
      <c r="B149" s="6"/>
    </row>
    <row r="150" spans="2:6" x14ac:dyDescent="0.2">
      <c r="B150" s="6"/>
    </row>
    <row r="151" spans="2:6" x14ac:dyDescent="0.2">
      <c r="B151" s="6"/>
    </row>
    <row r="152" spans="2:6" ht="16" x14ac:dyDescent="0.2">
      <c r="B152" s="6"/>
      <c r="F152" s="7" t="s">
        <v>701</v>
      </c>
    </row>
    <row r="153" spans="2:6" ht="16" x14ac:dyDescent="0.2">
      <c r="F153" s="7" t="s">
        <v>675</v>
      </c>
    </row>
    <row r="154" spans="2:6" ht="16" x14ac:dyDescent="0.2">
      <c r="E154" s="6">
        <v>25</v>
      </c>
      <c r="F154" s="7" t="s">
        <v>925</v>
      </c>
    </row>
    <row r="155" spans="2:6" x14ac:dyDescent="0.2">
      <c r="E155" s="6">
        <v>55</v>
      </c>
    </row>
    <row r="156" spans="2:6" x14ac:dyDescent="0.2">
      <c r="E156" s="6">
        <v>0</v>
      </c>
    </row>
  </sheetData>
  <mergeCells count="1">
    <mergeCell ref="A1:G1"/>
  </mergeCells>
  <pageMargins left="0.7" right="0.7" top="0.75" bottom="0.75" header="0.51180555555555496" footer="0.51180555555555496"/>
  <pageSetup firstPageNumber="0"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MK366"/>
  <sheetViews>
    <sheetView topLeftCell="A342" zoomScale="80" zoomScaleNormal="80" workbookViewId="0">
      <selection activeCell="B352" sqref="B352"/>
    </sheetView>
  </sheetViews>
  <sheetFormatPr baseColWidth="10" defaultColWidth="8.83203125" defaultRowHeight="15" x14ac:dyDescent="0.2"/>
  <cols>
    <col min="1" max="1" width="14.1640625" style="6" customWidth="1"/>
    <col min="2" max="2" width="41.5" style="3" customWidth="1"/>
    <col min="3" max="3" width="11.6640625" style="6" customWidth="1"/>
    <col min="4" max="4" width="12.83203125" style="6" customWidth="1"/>
    <col min="5" max="5" width="12.5" style="6" customWidth="1"/>
    <col min="6" max="6" width="39.5" style="7" customWidth="1"/>
    <col min="7" max="7" width="94.1640625" style="3" customWidth="1"/>
    <col min="8" max="8" width="22.83203125" style="6" customWidth="1"/>
    <col min="9" max="1025" width="9.1640625" style="6" customWidth="1"/>
  </cols>
  <sheetData>
    <row r="1" spans="1:7" ht="26" x14ac:dyDescent="0.3">
      <c r="A1" s="119" t="s">
        <v>926</v>
      </c>
      <c r="B1" s="119"/>
      <c r="C1" s="119"/>
      <c r="D1" s="119"/>
      <c r="E1" s="119"/>
      <c r="F1" s="119"/>
      <c r="G1" s="119"/>
    </row>
    <row r="2" spans="1:7" x14ac:dyDescent="0.2">
      <c r="A2" s="6" t="s">
        <v>927</v>
      </c>
    </row>
    <row r="3" spans="1:7" ht="14.5" customHeight="1" x14ac:dyDescent="0.2">
      <c r="A3" s="16" t="s">
        <v>2</v>
      </c>
      <c r="B3" s="17" t="s">
        <v>3</v>
      </c>
      <c r="C3" s="132" t="s">
        <v>43</v>
      </c>
      <c r="D3" s="132"/>
      <c r="E3" s="132"/>
      <c r="F3" s="132"/>
      <c r="G3" s="132"/>
    </row>
    <row r="4" spans="1:7" ht="30" customHeight="1" x14ac:dyDescent="0.2">
      <c r="A4" s="18" t="s">
        <v>928</v>
      </c>
      <c r="B4" s="87">
        <v>43823</v>
      </c>
      <c r="C4" s="133" t="s">
        <v>929</v>
      </c>
      <c r="D4" s="133"/>
      <c r="E4" s="133"/>
      <c r="F4" s="133"/>
      <c r="G4" s="133"/>
    </row>
    <row r="5" spans="1:7" x14ac:dyDescent="0.2">
      <c r="B5" s="87"/>
      <c r="C5" s="87"/>
      <c r="D5" s="87"/>
      <c r="E5" s="87"/>
      <c r="F5" s="87"/>
      <c r="G5" s="87"/>
    </row>
    <row r="6" spans="1:7" x14ac:dyDescent="0.2">
      <c r="B6" s="87"/>
      <c r="C6" s="87"/>
      <c r="D6" s="87"/>
      <c r="E6" s="87"/>
      <c r="F6" s="87"/>
      <c r="G6" s="87"/>
    </row>
    <row r="7" spans="1:7" x14ac:dyDescent="0.2">
      <c r="B7" s="87"/>
      <c r="C7" s="87"/>
      <c r="D7" s="87"/>
      <c r="E7" s="87"/>
      <c r="F7" s="87"/>
      <c r="G7" s="87"/>
    </row>
    <row r="8" spans="1:7" x14ac:dyDescent="0.2">
      <c r="B8" s="87"/>
      <c r="C8" s="87"/>
      <c r="D8" s="87"/>
      <c r="E8" s="87"/>
      <c r="F8" s="87"/>
      <c r="G8" s="87"/>
    </row>
    <row r="9" spans="1:7" x14ac:dyDescent="0.2">
      <c r="B9" s="87"/>
      <c r="C9" s="87"/>
      <c r="D9" s="87"/>
      <c r="E9" s="87"/>
      <c r="F9" s="87"/>
      <c r="G9" s="87"/>
    </row>
    <row r="10" spans="1:7" x14ac:dyDescent="0.2">
      <c r="B10" s="87"/>
      <c r="C10" s="87"/>
      <c r="D10" s="87"/>
      <c r="E10" s="87"/>
      <c r="F10" s="87"/>
      <c r="G10" s="87"/>
    </row>
    <row r="11" spans="1:7" x14ac:dyDescent="0.2">
      <c r="B11" s="87"/>
      <c r="C11" s="87"/>
      <c r="D11" s="87"/>
      <c r="E11" s="87"/>
      <c r="F11" s="87"/>
      <c r="G11" s="87"/>
    </row>
    <row r="12" spans="1:7" x14ac:dyDescent="0.2">
      <c r="B12" s="87"/>
      <c r="C12" s="87"/>
      <c r="D12" s="87"/>
      <c r="E12" s="87"/>
      <c r="F12" s="87"/>
      <c r="G12" s="87"/>
    </row>
    <row r="13" spans="1:7" x14ac:dyDescent="0.2">
      <c r="B13" s="87"/>
      <c r="C13" s="87"/>
      <c r="D13" s="87"/>
      <c r="E13" s="87"/>
      <c r="F13" s="87"/>
      <c r="G13" s="87"/>
    </row>
    <row r="14" spans="1:7" x14ac:dyDescent="0.2">
      <c r="B14" s="87"/>
      <c r="C14" s="87"/>
      <c r="D14" s="87"/>
      <c r="E14" s="87"/>
      <c r="F14" s="87"/>
      <c r="G14" s="87"/>
    </row>
    <row r="15" spans="1:7" x14ac:dyDescent="0.2">
      <c r="B15" s="87"/>
      <c r="C15" s="87"/>
      <c r="D15" s="87"/>
      <c r="E15" s="87"/>
      <c r="F15" s="87"/>
      <c r="G15" s="87"/>
    </row>
    <row r="16" spans="1:7" x14ac:dyDescent="0.2">
      <c r="B16" s="87"/>
      <c r="C16" s="87"/>
      <c r="D16" s="87"/>
      <c r="E16" s="87"/>
      <c r="F16" s="87"/>
      <c r="G16" s="87"/>
    </row>
    <row r="17" spans="1:8" x14ac:dyDescent="0.2">
      <c r="B17" s="87"/>
      <c r="C17" s="87"/>
      <c r="D17" s="87"/>
      <c r="E17" s="87"/>
      <c r="F17" s="87"/>
      <c r="G17" s="87"/>
    </row>
    <row r="18" spans="1:8" x14ac:dyDescent="0.2">
      <c r="B18" s="87"/>
      <c r="C18" s="87"/>
      <c r="D18" s="87"/>
      <c r="E18" s="87"/>
      <c r="F18" s="87"/>
      <c r="G18" s="87"/>
    </row>
    <row r="19" spans="1:8" x14ac:dyDescent="0.2">
      <c r="B19" s="87"/>
      <c r="C19" s="87"/>
      <c r="D19" s="87"/>
      <c r="E19" s="87"/>
      <c r="F19" s="87"/>
      <c r="G19" s="87"/>
    </row>
    <row r="20" spans="1:8" x14ac:dyDescent="0.2">
      <c r="B20" s="87"/>
      <c r="C20" s="87"/>
      <c r="D20" s="87"/>
      <c r="E20" s="87"/>
      <c r="F20" s="87"/>
      <c r="G20" s="87"/>
    </row>
    <row r="21" spans="1:8" x14ac:dyDescent="0.2">
      <c r="B21" s="88"/>
    </row>
    <row r="22" spans="1:8" x14ac:dyDescent="0.2">
      <c r="A22" s="134" t="s">
        <v>930</v>
      </c>
      <c r="B22" s="134"/>
      <c r="C22" s="134"/>
      <c r="D22" s="134"/>
      <c r="E22" s="134"/>
      <c r="F22" s="134"/>
      <c r="G22" s="134"/>
    </row>
    <row r="23" spans="1:8" x14ac:dyDescent="0.2">
      <c r="A23" s="18" t="s">
        <v>931</v>
      </c>
      <c r="B23" s="18"/>
      <c r="C23" s="18"/>
      <c r="D23" s="18"/>
      <c r="E23" s="18"/>
      <c r="F23" s="18"/>
      <c r="G23" s="18"/>
    </row>
    <row r="24" spans="1:8" ht="83.25" customHeight="1" x14ac:dyDescent="0.2">
      <c r="A24" s="129" t="s">
        <v>932</v>
      </c>
      <c r="B24" s="129"/>
      <c r="C24" s="129"/>
      <c r="D24" s="129"/>
      <c r="E24" s="129"/>
      <c r="F24" s="129"/>
      <c r="G24" s="129"/>
    </row>
    <row r="25" spans="1:8" s="3" customFormat="1" ht="44.25" customHeight="1" x14ac:dyDescent="0.2">
      <c r="A25" s="128" t="s">
        <v>933</v>
      </c>
      <c r="B25" s="128"/>
      <c r="C25" s="128"/>
      <c r="D25" s="128"/>
      <c r="E25" s="128"/>
      <c r="F25" s="128"/>
      <c r="G25" s="128"/>
    </row>
    <row r="28" spans="1:8" ht="32" x14ac:dyDescent="0.2">
      <c r="A28" s="8" t="s">
        <v>668</v>
      </c>
      <c r="B28" s="9" t="s">
        <v>40</v>
      </c>
      <c r="C28" s="9" t="s">
        <v>669</v>
      </c>
      <c r="D28" s="8" t="s">
        <v>42</v>
      </c>
      <c r="E28" s="8" t="s">
        <v>670</v>
      </c>
      <c r="F28" s="10" t="s">
        <v>671</v>
      </c>
      <c r="G28" s="9" t="s">
        <v>30</v>
      </c>
      <c r="H28" s="9"/>
    </row>
    <row r="29" spans="1:8" x14ac:dyDescent="0.2">
      <c r="C29" s="3"/>
    </row>
    <row r="30" spans="1:8" x14ac:dyDescent="0.2">
      <c r="C30" s="3"/>
    </row>
    <row r="31" spans="1:8" ht="195" customHeight="1" x14ac:dyDescent="0.2">
      <c r="A31" s="6" t="s">
        <v>934</v>
      </c>
      <c r="C31" s="3"/>
      <c r="D31" s="3"/>
      <c r="E31" s="3"/>
      <c r="F31" s="128" t="s">
        <v>935</v>
      </c>
      <c r="G31" s="128"/>
    </row>
    <row r="32" spans="1:8" s="20" customFormat="1" ht="32" x14ac:dyDescent="0.2">
      <c r="A32" s="6"/>
      <c r="B32" s="3" t="s">
        <v>936</v>
      </c>
      <c r="C32" s="6" t="s">
        <v>274</v>
      </c>
      <c r="E32" s="6" t="s">
        <v>675</v>
      </c>
      <c r="F32" s="7" t="s">
        <v>937</v>
      </c>
      <c r="G32" s="3"/>
    </row>
    <row r="33" spans="2:7" ht="32" x14ac:dyDescent="0.2">
      <c r="B33" s="3" t="s">
        <v>938</v>
      </c>
      <c r="C33" s="6" t="s">
        <v>274</v>
      </c>
      <c r="E33" s="6" t="s">
        <v>675</v>
      </c>
      <c r="F33" s="7" t="s">
        <v>939</v>
      </c>
    </row>
    <row r="34" spans="2:7" ht="32" x14ac:dyDescent="0.2">
      <c r="B34" s="3" t="s">
        <v>940</v>
      </c>
      <c r="C34" s="6" t="s">
        <v>274</v>
      </c>
      <c r="E34" s="6" t="s">
        <v>675</v>
      </c>
      <c r="F34" s="7" t="s">
        <v>939</v>
      </c>
    </row>
    <row r="35" spans="2:7" ht="32" x14ac:dyDescent="0.2">
      <c r="B35" s="3" t="s">
        <v>941</v>
      </c>
      <c r="C35" s="6" t="s">
        <v>274</v>
      </c>
      <c r="E35" s="6" t="s">
        <v>675</v>
      </c>
      <c r="F35" s="7" t="s">
        <v>942</v>
      </c>
    </row>
    <row r="36" spans="2:7" ht="58.5" customHeight="1" x14ac:dyDescent="0.2">
      <c r="B36" s="3" t="s">
        <v>943</v>
      </c>
      <c r="C36" s="6" t="s">
        <v>274</v>
      </c>
      <c r="E36" s="6" t="s">
        <v>675</v>
      </c>
      <c r="F36" s="7" t="s">
        <v>944</v>
      </c>
    </row>
    <row r="37" spans="2:7" ht="16" x14ac:dyDescent="0.2">
      <c r="B37" s="3" t="s">
        <v>945</v>
      </c>
      <c r="C37" s="6" t="s">
        <v>274</v>
      </c>
      <c r="E37" s="6" t="s">
        <v>675</v>
      </c>
      <c r="F37" s="7" t="s">
        <v>946</v>
      </c>
    </row>
    <row r="38" spans="2:7" ht="32" x14ac:dyDescent="0.2">
      <c r="B38" s="3" t="s">
        <v>947</v>
      </c>
      <c r="C38" s="6" t="s">
        <v>274</v>
      </c>
      <c r="E38" s="6" t="s">
        <v>675</v>
      </c>
      <c r="F38" s="7" t="s">
        <v>948</v>
      </c>
    </row>
    <row r="39" spans="2:7" ht="32" x14ac:dyDescent="0.2">
      <c r="B39" s="3" t="s">
        <v>949</v>
      </c>
      <c r="C39" s="6" t="s">
        <v>274</v>
      </c>
      <c r="E39" s="6" t="s">
        <v>675</v>
      </c>
      <c r="F39" s="7" t="s">
        <v>950</v>
      </c>
    </row>
    <row r="40" spans="2:7" ht="32" x14ac:dyDescent="0.2">
      <c r="B40" s="3" t="s">
        <v>951</v>
      </c>
      <c r="C40" s="6" t="s">
        <v>274</v>
      </c>
      <c r="E40" s="6" t="s">
        <v>701</v>
      </c>
      <c r="F40" s="7" t="s">
        <v>952</v>
      </c>
      <c r="G40" s="3" t="s">
        <v>953</v>
      </c>
    </row>
    <row r="41" spans="2:7" ht="32" x14ac:dyDescent="0.2">
      <c r="B41" s="3" t="s">
        <v>954</v>
      </c>
      <c r="C41" s="6" t="s">
        <v>274</v>
      </c>
      <c r="E41" s="6" t="s">
        <v>675</v>
      </c>
      <c r="F41" s="7" t="s">
        <v>955</v>
      </c>
    </row>
    <row r="42" spans="2:7" ht="16" x14ac:dyDescent="0.2">
      <c r="B42" s="3" t="s">
        <v>956</v>
      </c>
      <c r="C42" s="6" t="s">
        <v>274</v>
      </c>
      <c r="E42" s="6" t="s">
        <v>675</v>
      </c>
      <c r="F42" s="7" t="s">
        <v>957</v>
      </c>
      <c r="G42" s="3" t="s">
        <v>958</v>
      </c>
    </row>
    <row r="43" spans="2:7" ht="16" x14ac:dyDescent="0.2">
      <c r="B43" s="3" t="s">
        <v>959</v>
      </c>
      <c r="C43" s="6" t="s">
        <v>274</v>
      </c>
      <c r="E43" s="6" t="s">
        <v>675</v>
      </c>
      <c r="F43" s="7" t="s">
        <v>960</v>
      </c>
    </row>
    <row r="44" spans="2:7" ht="32" x14ac:dyDescent="0.2">
      <c r="B44" s="3" t="s">
        <v>961</v>
      </c>
      <c r="C44" s="6" t="s">
        <v>274</v>
      </c>
      <c r="E44" s="6" t="s">
        <v>701</v>
      </c>
      <c r="F44" s="7" t="s">
        <v>962</v>
      </c>
      <c r="G44" s="3" t="s">
        <v>963</v>
      </c>
    </row>
    <row r="45" spans="2:7" ht="32" x14ac:dyDescent="0.2">
      <c r="B45" s="3" t="s">
        <v>964</v>
      </c>
      <c r="C45" s="6" t="s">
        <v>274</v>
      </c>
      <c r="E45" s="6" t="s">
        <v>675</v>
      </c>
      <c r="F45" s="7" t="s">
        <v>965</v>
      </c>
    </row>
    <row r="46" spans="2:7" ht="16" x14ac:dyDescent="0.2">
      <c r="B46" s="3" t="s">
        <v>966</v>
      </c>
      <c r="C46" s="6" t="s">
        <v>274</v>
      </c>
      <c r="E46" s="6" t="s">
        <v>701</v>
      </c>
      <c r="F46" s="7" t="s">
        <v>967</v>
      </c>
      <c r="G46" s="3" t="s">
        <v>968</v>
      </c>
    </row>
    <row r="47" spans="2:7" ht="16" x14ac:dyDescent="0.2">
      <c r="B47" s="3" t="s">
        <v>969</v>
      </c>
      <c r="C47" s="6" t="s">
        <v>274</v>
      </c>
      <c r="E47" s="6" t="s">
        <v>675</v>
      </c>
      <c r="F47" s="7" t="s">
        <v>970</v>
      </c>
    </row>
    <row r="48" spans="2:7" ht="32" x14ac:dyDescent="0.2">
      <c r="B48" s="3" t="s">
        <v>971</v>
      </c>
      <c r="C48" s="6" t="s">
        <v>274</v>
      </c>
      <c r="E48" s="6" t="s">
        <v>701</v>
      </c>
      <c r="F48" s="7" t="s">
        <v>972</v>
      </c>
      <c r="G48" s="3" t="s">
        <v>963</v>
      </c>
    </row>
    <row r="49" spans="1:7" ht="32" x14ac:dyDescent="0.2">
      <c r="B49" s="3" t="s">
        <v>973</v>
      </c>
      <c r="C49" s="6" t="s">
        <v>274</v>
      </c>
      <c r="E49" s="6" t="s">
        <v>675</v>
      </c>
      <c r="F49" s="7" t="s">
        <v>974</v>
      </c>
    </row>
    <row r="50" spans="1:7" ht="16" x14ac:dyDescent="0.2">
      <c r="B50" s="3" t="s">
        <v>975</v>
      </c>
      <c r="C50" s="6" t="s">
        <v>274</v>
      </c>
      <c r="E50" s="6" t="s">
        <v>675</v>
      </c>
      <c r="F50" s="7" t="s">
        <v>967</v>
      </c>
      <c r="G50" s="3" t="s">
        <v>976</v>
      </c>
    </row>
    <row r="51" spans="1:7" ht="16" x14ac:dyDescent="0.2">
      <c r="B51" s="3" t="s">
        <v>977</v>
      </c>
      <c r="C51" s="6" t="s">
        <v>274</v>
      </c>
      <c r="E51" s="6" t="s">
        <v>675</v>
      </c>
      <c r="F51" s="7" t="s">
        <v>970</v>
      </c>
    </row>
    <row r="52" spans="1:7" ht="32" x14ac:dyDescent="0.2">
      <c r="B52" s="3" t="s">
        <v>978</v>
      </c>
      <c r="C52" s="6" t="s">
        <v>274</v>
      </c>
      <c r="E52" s="6" t="s">
        <v>701</v>
      </c>
      <c r="F52" s="7" t="s">
        <v>979</v>
      </c>
      <c r="G52" s="3" t="s">
        <v>980</v>
      </c>
    </row>
    <row r="53" spans="1:7" ht="16" x14ac:dyDescent="0.2">
      <c r="B53" s="3" t="s">
        <v>981</v>
      </c>
      <c r="C53" s="6" t="s">
        <v>274</v>
      </c>
      <c r="E53" s="6" t="s">
        <v>701</v>
      </c>
      <c r="F53" s="7" t="s">
        <v>982</v>
      </c>
      <c r="G53" s="3" t="s">
        <v>983</v>
      </c>
    </row>
    <row r="54" spans="1:7" ht="16" x14ac:dyDescent="0.2">
      <c r="B54" s="3" t="s">
        <v>984</v>
      </c>
      <c r="C54" s="6" t="s">
        <v>274</v>
      </c>
      <c r="E54" s="6" t="s">
        <v>701</v>
      </c>
      <c r="G54" s="3" t="s">
        <v>958</v>
      </c>
    </row>
    <row r="55" spans="1:7" ht="58.5" customHeight="1" x14ac:dyDescent="0.2">
      <c r="B55" s="3" t="s">
        <v>985</v>
      </c>
      <c r="C55" s="6" t="s">
        <v>274</v>
      </c>
      <c r="E55" s="6" t="s">
        <v>675</v>
      </c>
      <c r="F55" s="7" t="s">
        <v>986</v>
      </c>
    </row>
    <row r="57" spans="1:7" ht="16" x14ac:dyDescent="0.2">
      <c r="A57" s="6" t="s">
        <v>987</v>
      </c>
      <c r="G57" s="3" t="s">
        <v>988</v>
      </c>
    </row>
    <row r="58" spans="1:7" ht="16" x14ac:dyDescent="0.2">
      <c r="B58" s="3" t="s">
        <v>989</v>
      </c>
      <c r="C58" s="6" t="s">
        <v>274</v>
      </c>
      <c r="E58" s="6" t="s">
        <v>675</v>
      </c>
      <c r="F58" s="7" t="s">
        <v>990</v>
      </c>
    </row>
    <row r="59" spans="1:7" ht="32" x14ac:dyDescent="0.2">
      <c r="B59" s="3" t="s">
        <v>991</v>
      </c>
      <c r="C59" s="6" t="s">
        <v>274</v>
      </c>
      <c r="E59" s="6" t="s">
        <v>675</v>
      </c>
      <c r="F59" s="7" t="s">
        <v>992</v>
      </c>
    </row>
    <row r="60" spans="1:7" ht="32" x14ac:dyDescent="0.2">
      <c r="B60" s="3" t="s">
        <v>993</v>
      </c>
      <c r="C60" s="6" t="s">
        <v>274</v>
      </c>
      <c r="E60" s="6" t="s">
        <v>701</v>
      </c>
      <c r="F60" s="7" t="s">
        <v>994</v>
      </c>
    </row>
    <row r="61" spans="1:7" ht="32" x14ac:dyDescent="0.2">
      <c r="B61" s="3" t="s">
        <v>995</v>
      </c>
      <c r="C61" s="6" t="s">
        <v>274</v>
      </c>
      <c r="E61" s="6" t="s">
        <v>701</v>
      </c>
      <c r="F61" s="7" t="s">
        <v>996</v>
      </c>
      <c r="G61" s="3" t="s">
        <v>997</v>
      </c>
    </row>
    <row r="62" spans="1:7" ht="32" x14ac:dyDescent="0.2">
      <c r="B62" s="3" t="s">
        <v>998</v>
      </c>
      <c r="C62" s="6" t="s">
        <v>274</v>
      </c>
      <c r="E62" s="6" t="s">
        <v>675</v>
      </c>
      <c r="F62" s="7" t="s">
        <v>999</v>
      </c>
    </row>
    <row r="63" spans="1:7" ht="32" x14ac:dyDescent="0.2">
      <c r="B63" s="3" t="s">
        <v>1000</v>
      </c>
      <c r="C63" s="6" t="s">
        <v>274</v>
      </c>
      <c r="E63" s="6" t="s">
        <v>701</v>
      </c>
      <c r="F63" s="7" t="s">
        <v>1001</v>
      </c>
      <c r="G63" s="3" t="s">
        <v>1002</v>
      </c>
    </row>
    <row r="64" spans="1:7" ht="32" x14ac:dyDescent="0.2">
      <c r="B64" s="3" t="s">
        <v>1003</v>
      </c>
      <c r="C64" s="6" t="s">
        <v>274</v>
      </c>
      <c r="E64" s="6" t="s">
        <v>675</v>
      </c>
      <c r="F64" s="7" t="s">
        <v>1004</v>
      </c>
    </row>
    <row r="65" spans="1:7" ht="32" x14ac:dyDescent="0.2">
      <c r="B65" s="3" t="s">
        <v>1005</v>
      </c>
      <c r="C65" s="6" t="s">
        <v>274</v>
      </c>
      <c r="E65" s="6" t="s">
        <v>675</v>
      </c>
      <c r="F65" s="7" t="s">
        <v>1006</v>
      </c>
    </row>
    <row r="66" spans="1:7" ht="32" x14ac:dyDescent="0.2">
      <c r="B66" s="3" t="s">
        <v>1007</v>
      </c>
      <c r="C66" s="6" t="s">
        <v>274</v>
      </c>
      <c r="D66" s="3"/>
      <c r="E66" s="3" t="s">
        <v>701</v>
      </c>
      <c r="F66" s="7" t="s">
        <v>1008</v>
      </c>
      <c r="G66" s="3" t="s">
        <v>1002</v>
      </c>
    </row>
    <row r="67" spans="1:7" ht="32" x14ac:dyDescent="0.2">
      <c r="B67" s="3" t="s">
        <v>1009</v>
      </c>
      <c r="C67" s="6" t="s">
        <v>274</v>
      </c>
      <c r="D67" s="3"/>
      <c r="E67" s="3" t="s">
        <v>675</v>
      </c>
      <c r="F67" s="7" t="s">
        <v>1010</v>
      </c>
    </row>
    <row r="68" spans="1:7" ht="16" x14ac:dyDescent="0.2">
      <c r="B68" s="3" t="s">
        <v>1011</v>
      </c>
      <c r="C68" s="6" t="s">
        <v>274</v>
      </c>
      <c r="D68" s="3"/>
      <c r="E68" s="3" t="s">
        <v>701</v>
      </c>
      <c r="F68" s="7" t="s">
        <v>1012</v>
      </c>
      <c r="G68" s="3" t="s">
        <v>1013</v>
      </c>
    </row>
    <row r="69" spans="1:7" ht="32" x14ac:dyDescent="0.2">
      <c r="B69" s="3" t="s">
        <v>1014</v>
      </c>
      <c r="C69" s="6" t="s">
        <v>274</v>
      </c>
      <c r="D69" s="3"/>
      <c r="E69" s="3" t="s">
        <v>701</v>
      </c>
      <c r="F69" s="7" t="s">
        <v>1015</v>
      </c>
      <c r="G69" s="3" t="s">
        <v>1016</v>
      </c>
    </row>
    <row r="70" spans="1:7" x14ac:dyDescent="0.2">
      <c r="D70" s="3"/>
      <c r="E70" s="3"/>
    </row>
    <row r="71" spans="1:7" ht="16" x14ac:dyDescent="0.2">
      <c r="A71" s="6" t="s">
        <v>1017</v>
      </c>
      <c r="D71" s="3"/>
      <c r="E71" s="3"/>
      <c r="G71" s="3" t="s">
        <v>1018</v>
      </c>
    </row>
    <row r="72" spans="1:7" ht="16" x14ac:dyDescent="0.2">
      <c r="B72" s="3" t="s">
        <v>1019</v>
      </c>
      <c r="C72" s="6" t="s">
        <v>274</v>
      </c>
      <c r="D72" s="3"/>
      <c r="E72" s="3" t="s">
        <v>675</v>
      </c>
      <c r="F72" s="7" t="s">
        <v>1020</v>
      </c>
    </row>
    <row r="73" spans="1:7" ht="32" x14ac:dyDescent="0.2">
      <c r="B73" s="3" t="s">
        <v>1021</v>
      </c>
      <c r="C73" s="6" t="s">
        <v>274</v>
      </c>
      <c r="E73" s="6" t="s">
        <v>701</v>
      </c>
      <c r="F73" s="7" t="s">
        <v>1022</v>
      </c>
      <c r="G73" s="3" t="s">
        <v>1016</v>
      </c>
    </row>
    <row r="74" spans="1:7" ht="32" x14ac:dyDescent="0.2">
      <c r="B74" s="3" t="s">
        <v>1023</v>
      </c>
      <c r="C74" s="6" t="s">
        <v>274</v>
      </c>
      <c r="E74" s="6" t="s">
        <v>701</v>
      </c>
      <c r="F74" s="7" t="s">
        <v>1024</v>
      </c>
      <c r="G74" s="3" t="s">
        <v>1025</v>
      </c>
    </row>
    <row r="75" spans="1:7" ht="32" x14ac:dyDescent="0.2">
      <c r="B75" s="3" t="s">
        <v>1026</v>
      </c>
      <c r="C75" s="6" t="s">
        <v>274</v>
      </c>
      <c r="D75" s="3"/>
      <c r="E75" s="3" t="s">
        <v>701</v>
      </c>
      <c r="F75" s="7" t="s">
        <v>1027</v>
      </c>
      <c r="G75" s="3" t="s">
        <v>1028</v>
      </c>
    </row>
    <row r="76" spans="1:7" ht="16" x14ac:dyDescent="0.2">
      <c r="B76" s="3" t="s">
        <v>1029</v>
      </c>
      <c r="C76" s="6" t="s">
        <v>274</v>
      </c>
      <c r="D76" s="3"/>
      <c r="E76" s="3" t="s">
        <v>675</v>
      </c>
      <c r="F76" s="7" t="s">
        <v>1030</v>
      </c>
    </row>
    <row r="77" spans="1:7" x14ac:dyDescent="0.2">
      <c r="D77" s="3"/>
      <c r="E77" s="3"/>
    </row>
    <row r="78" spans="1:7" x14ac:dyDescent="0.2">
      <c r="D78" s="3"/>
      <c r="E78" s="3"/>
    </row>
    <row r="79" spans="1:7" x14ac:dyDescent="0.2">
      <c r="D79" s="3"/>
      <c r="E79" s="3"/>
    </row>
    <row r="80" spans="1:7" ht="16" x14ac:dyDescent="0.2">
      <c r="A80" s="6" t="s">
        <v>1031</v>
      </c>
      <c r="G80" s="3" t="s">
        <v>1032</v>
      </c>
    </row>
    <row r="81" spans="2:7" ht="32" x14ac:dyDescent="0.2">
      <c r="B81" s="3" t="s">
        <v>1033</v>
      </c>
      <c r="C81" s="6" t="s">
        <v>274</v>
      </c>
      <c r="E81" s="6" t="s">
        <v>675</v>
      </c>
      <c r="F81" s="7" t="s">
        <v>1034</v>
      </c>
      <c r="G81" s="3" t="s">
        <v>1035</v>
      </c>
    </row>
    <row r="82" spans="2:7" ht="32" x14ac:dyDescent="0.2">
      <c r="B82" s="3" t="s">
        <v>1036</v>
      </c>
      <c r="C82" s="6" t="s">
        <v>274</v>
      </c>
      <c r="E82" s="6" t="s">
        <v>701</v>
      </c>
      <c r="F82" s="7" t="s">
        <v>1037</v>
      </c>
      <c r="G82" s="3" t="s">
        <v>1038</v>
      </c>
    </row>
    <row r="83" spans="2:7" ht="32" x14ac:dyDescent="0.2">
      <c r="B83" s="3" t="s">
        <v>1039</v>
      </c>
      <c r="C83" s="6" t="s">
        <v>274</v>
      </c>
      <c r="D83" s="3"/>
      <c r="E83" s="3" t="s">
        <v>701</v>
      </c>
      <c r="F83" s="7" t="s">
        <v>1040</v>
      </c>
      <c r="G83" s="3" t="s">
        <v>1038</v>
      </c>
    </row>
    <row r="84" spans="2:7" ht="32" x14ac:dyDescent="0.2">
      <c r="B84" s="3" t="s">
        <v>1041</v>
      </c>
      <c r="C84" s="6" t="s">
        <v>274</v>
      </c>
      <c r="D84" s="3"/>
      <c r="E84" s="3" t="s">
        <v>701</v>
      </c>
      <c r="F84" s="7" t="s">
        <v>1042</v>
      </c>
      <c r="G84" s="3" t="s">
        <v>1043</v>
      </c>
    </row>
    <row r="85" spans="2:7" ht="16" x14ac:dyDescent="0.2">
      <c r="B85" s="3" t="s">
        <v>1044</v>
      </c>
      <c r="C85" s="6" t="s">
        <v>274</v>
      </c>
      <c r="D85" s="3"/>
      <c r="E85" s="3" t="s">
        <v>675</v>
      </c>
      <c r="F85" s="7" t="s">
        <v>1045</v>
      </c>
      <c r="G85" s="3" t="s">
        <v>1046</v>
      </c>
    </row>
    <row r="86" spans="2:7" ht="32" x14ac:dyDescent="0.2">
      <c r="B86" s="3" t="s">
        <v>1047</v>
      </c>
      <c r="C86" s="6" t="s">
        <v>274</v>
      </c>
      <c r="D86" s="3"/>
      <c r="E86" s="3" t="s">
        <v>701</v>
      </c>
      <c r="F86" s="7" t="s">
        <v>1048</v>
      </c>
      <c r="G86" s="3" t="s">
        <v>1049</v>
      </c>
    </row>
    <row r="87" spans="2:7" ht="16" x14ac:dyDescent="0.2">
      <c r="B87" s="3" t="s">
        <v>1050</v>
      </c>
      <c r="C87" s="6" t="s">
        <v>274</v>
      </c>
      <c r="D87" s="3"/>
      <c r="E87" s="3" t="s">
        <v>675</v>
      </c>
      <c r="F87" s="7" t="s">
        <v>1051</v>
      </c>
      <c r="G87" s="3" t="s">
        <v>1052</v>
      </c>
    </row>
    <row r="88" spans="2:7" ht="32" x14ac:dyDescent="0.2">
      <c r="B88" s="3" t="s">
        <v>1053</v>
      </c>
      <c r="C88" s="6" t="s">
        <v>274</v>
      </c>
      <c r="E88" s="3" t="s">
        <v>701</v>
      </c>
      <c r="F88" s="7" t="s">
        <v>1054</v>
      </c>
      <c r="G88" s="3" t="s">
        <v>1055</v>
      </c>
    </row>
    <row r="89" spans="2:7" ht="32" x14ac:dyDescent="0.2">
      <c r="B89" s="3" t="s">
        <v>1056</v>
      </c>
      <c r="C89" s="6" t="s">
        <v>274</v>
      </c>
      <c r="E89" s="3" t="s">
        <v>701</v>
      </c>
      <c r="F89" s="7" t="s">
        <v>1057</v>
      </c>
      <c r="G89" s="3" t="s">
        <v>1058</v>
      </c>
    </row>
    <row r="90" spans="2:7" ht="32" x14ac:dyDescent="0.2">
      <c r="B90" s="3" t="s">
        <v>1059</v>
      </c>
      <c r="C90" s="6" t="s">
        <v>274</v>
      </c>
      <c r="E90" s="3" t="s">
        <v>701</v>
      </c>
      <c r="F90" s="7" t="s">
        <v>1060</v>
      </c>
    </row>
    <row r="91" spans="2:7" ht="32" x14ac:dyDescent="0.2">
      <c r="B91" s="3" t="s">
        <v>1061</v>
      </c>
      <c r="C91" s="6" t="s">
        <v>274</v>
      </c>
      <c r="D91" s="3"/>
      <c r="E91" s="3" t="s">
        <v>701</v>
      </c>
      <c r="F91" s="7" t="s">
        <v>1062</v>
      </c>
      <c r="G91" s="3" t="s">
        <v>1063</v>
      </c>
    </row>
    <row r="92" spans="2:7" ht="32" x14ac:dyDescent="0.2">
      <c r="B92" s="3" t="s">
        <v>1064</v>
      </c>
      <c r="C92" s="6" t="s">
        <v>274</v>
      </c>
      <c r="D92" s="3"/>
      <c r="E92" s="3" t="s">
        <v>701</v>
      </c>
      <c r="F92" s="7" t="s">
        <v>1065</v>
      </c>
      <c r="G92" s="3" t="s">
        <v>1066</v>
      </c>
    </row>
    <row r="93" spans="2:7" ht="16" x14ac:dyDescent="0.2">
      <c r="B93" s="3" t="s">
        <v>1067</v>
      </c>
      <c r="C93" s="6" t="s">
        <v>274</v>
      </c>
      <c r="D93" s="3"/>
      <c r="E93" s="3" t="s">
        <v>701</v>
      </c>
      <c r="F93" s="7" t="s">
        <v>1068</v>
      </c>
      <c r="G93" s="3" t="s">
        <v>1069</v>
      </c>
    </row>
    <row r="94" spans="2:7" ht="32" x14ac:dyDescent="0.2">
      <c r="B94" s="3" t="s">
        <v>1070</v>
      </c>
      <c r="C94" s="6" t="s">
        <v>274</v>
      </c>
      <c r="D94" s="3"/>
      <c r="E94" s="3" t="s">
        <v>675</v>
      </c>
      <c r="F94" s="7" t="s">
        <v>1071</v>
      </c>
    </row>
    <row r="95" spans="2:7" ht="32" x14ac:dyDescent="0.2">
      <c r="B95" s="3" t="s">
        <v>1072</v>
      </c>
      <c r="C95" s="6" t="s">
        <v>274</v>
      </c>
      <c r="D95" s="3"/>
      <c r="E95" s="3" t="s">
        <v>701</v>
      </c>
      <c r="F95" s="7" t="s">
        <v>1073</v>
      </c>
      <c r="G95" s="3" t="s">
        <v>1074</v>
      </c>
    </row>
    <row r="96" spans="2:7" ht="16" x14ac:dyDescent="0.2">
      <c r="B96" s="3" t="s">
        <v>1075</v>
      </c>
      <c r="C96" s="6" t="s">
        <v>274</v>
      </c>
      <c r="D96" s="3"/>
      <c r="E96" s="3" t="s">
        <v>675</v>
      </c>
      <c r="F96" s="7" t="s">
        <v>1076</v>
      </c>
      <c r="G96" s="3" t="s">
        <v>1077</v>
      </c>
    </row>
    <row r="97" spans="2:7" ht="16" x14ac:dyDescent="0.2">
      <c r="B97" s="3" t="s">
        <v>1078</v>
      </c>
      <c r="C97" s="6" t="s">
        <v>274</v>
      </c>
      <c r="D97" s="3"/>
      <c r="E97" s="3" t="s">
        <v>675</v>
      </c>
      <c r="F97" s="7" t="s">
        <v>1079</v>
      </c>
      <c r="G97" s="3" t="s">
        <v>1080</v>
      </c>
    </row>
    <row r="98" spans="2:7" ht="32" x14ac:dyDescent="0.2">
      <c r="B98" s="3" t="s">
        <v>1081</v>
      </c>
      <c r="C98" s="6" t="s">
        <v>274</v>
      </c>
      <c r="D98" s="3"/>
      <c r="E98" s="3" t="s">
        <v>701</v>
      </c>
      <c r="F98" s="7" t="s">
        <v>1082</v>
      </c>
      <c r="G98" s="3" t="s">
        <v>1083</v>
      </c>
    </row>
    <row r="99" spans="2:7" ht="16" x14ac:dyDescent="0.2">
      <c r="B99" s="3" t="s">
        <v>1084</v>
      </c>
      <c r="C99" s="6" t="s">
        <v>274</v>
      </c>
      <c r="D99" s="3"/>
      <c r="E99" s="3" t="s">
        <v>675</v>
      </c>
      <c r="F99" s="7" t="s">
        <v>1085</v>
      </c>
    </row>
    <row r="100" spans="2:7" ht="32" x14ac:dyDescent="0.2">
      <c r="B100" s="3" t="s">
        <v>1086</v>
      </c>
      <c r="C100" s="6" t="s">
        <v>274</v>
      </c>
      <c r="D100" s="3"/>
      <c r="E100" s="3" t="s">
        <v>675</v>
      </c>
      <c r="F100" s="7" t="s">
        <v>1087</v>
      </c>
    </row>
    <row r="101" spans="2:7" ht="32" x14ac:dyDescent="0.2">
      <c r="B101" s="3" t="s">
        <v>1088</v>
      </c>
      <c r="C101" s="6" t="s">
        <v>274</v>
      </c>
      <c r="D101" s="3"/>
      <c r="E101" s="3" t="s">
        <v>701</v>
      </c>
      <c r="F101" s="7" t="s">
        <v>1089</v>
      </c>
      <c r="G101" s="3" t="s">
        <v>1090</v>
      </c>
    </row>
    <row r="102" spans="2:7" ht="16" x14ac:dyDescent="0.2">
      <c r="B102" s="3" t="s">
        <v>1091</v>
      </c>
      <c r="C102" s="6" t="s">
        <v>274</v>
      </c>
      <c r="D102" s="3"/>
      <c r="E102" s="3" t="s">
        <v>675</v>
      </c>
      <c r="F102" s="7" t="s">
        <v>1092</v>
      </c>
      <c r="G102" s="3" t="s">
        <v>1093</v>
      </c>
    </row>
    <row r="103" spans="2:7" ht="16" x14ac:dyDescent="0.2">
      <c r="B103" s="3" t="s">
        <v>1094</v>
      </c>
      <c r="C103" s="6" t="s">
        <v>274</v>
      </c>
      <c r="D103" s="3"/>
      <c r="E103" s="3" t="s">
        <v>675</v>
      </c>
      <c r="F103" s="7" t="s">
        <v>1095</v>
      </c>
      <c r="G103" s="3" t="s">
        <v>1096</v>
      </c>
    </row>
    <row r="104" spans="2:7" ht="32" x14ac:dyDescent="0.2">
      <c r="B104" s="3" t="s">
        <v>1097</v>
      </c>
      <c r="C104" s="6" t="s">
        <v>274</v>
      </c>
      <c r="D104" s="3"/>
      <c r="E104" s="3" t="s">
        <v>675</v>
      </c>
      <c r="F104" s="7" t="s">
        <v>1098</v>
      </c>
      <c r="G104" s="3" t="s">
        <v>1099</v>
      </c>
    </row>
    <row r="105" spans="2:7" ht="32" x14ac:dyDescent="0.2">
      <c r="B105" s="3" t="s">
        <v>1100</v>
      </c>
      <c r="C105" s="6" t="s">
        <v>274</v>
      </c>
      <c r="D105" s="3"/>
      <c r="E105" s="3" t="s">
        <v>701</v>
      </c>
      <c r="F105" s="7" t="s">
        <v>1101</v>
      </c>
      <c r="G105" s="3" t="s">
        <v>1102</v>
      </c>
    </row>
    <row r="106" spans="2:7" ht="16" x14ac:dyDescent="0.2">
      <c r="B106" s="3" t="s">
        <v>1103</v>
      </c>
      <c r="C106" s="6" t="s">
        <v>274</v>
      </c>
      <c r="D106" s="3"/>
      <c r="E106" s="3" t="s">
        <v>675</v>
      </c>
      <c r="F106" s="7" t="s">
        <v>1104</v>
      </c>
    </row>
    <row r="107" spans="2:7" ht="48" x14ac:dyDescent="0.2">
      <c r="B107" s="3" t="s">
        <v>1105</v>
      </c>
      <c r="C107" s="6" t="s">
        <v>274</v>
      </c>
      <c r="D107" s="3"/>
      <c r="E107" s="3" t="s">
        <v>701</v>
      </c>
      <c r="F107" s="7" t="s">
        <v>1106</v>
      </c>
      <c r="G107" s="3" t="s">
        <v>1107</v>
      </c>
    </row>
    <row r="108" spans="2:7" ht="16" x14ac:dyDescent="0.2">
      <c r="B108" s="3" t="s">
        <v>1108</v>
      </c>
      <c r="C108" s="6" t="s">
        <v>274</v>
      </c>
      <c r="D108" s="3"/>
      <c r="E108" s="3" t="s">
        <v>701</v>
      </c>
      <c r="F108" s="7" t="s">
        <v>1109</v>
      </c>
      <c r="G108" s="3" t="s">
        <v>1110</v>
      </c>
    </row>
    <row r="109" spans="2:7" ht="32" x14ac:dyDescent="0.2">
      <c r="B109" s="3" t="s">
        <v>1111</v>
      </c>
      <c r="C109" s="6" t="s">
        <v>274</v>
      </c>
      <c r="D109" s="3"/>
      <c r="E109" s="3" t="s">
        <v>701</v>
      </c>
      <c r="F109" s="7" t="s">
        <v>1112</v>
      </c>
      <c r="G109" s="3" t="s">
        <v>1113</v>
      </c>
    </row>
    <row r="110" spans="2:7" ht="16" x14ac:dyDescent="0.2">
      <c r="B110" s="3" t="s">
        <v>1114</v>
      </c>
      <c r="C110" s="6" t="s">
        <v>274</v>
      </c>
      <c r="D110" s="3"/>
      <c r="E110" s="3" t="s">
        <v>1115</v>
      </c>
      <c r="F110" s="7" t="s">
        <v>1116</v>
      </c>
      <c r="G110" s="3" t="s">
        <v>1117</v>
      </c>
    </row>
    <row r="111" spans="2:7" ht="32" x14ac:dyDescent="0.2">
      <c r="B111" s="3" t="s">
        <v>1118</v>
      </c>
      <c r="C111" s="6" t="s">
        <v>274</v>
      </c>
      <c r="D111" s="3"/>
      <c r="E111" s="3" t="s">
        <v>675</v>
      </c>
      <c r="F111" s="7" t="s">
        <v>1119</v>
      </c>
    </row>
    <row r="112" spans="2:7" ht="32" x14ac:dyDescent="0.2">
      <c r="B112" s="3" t="s">
        <v>1120</v>
      </c>
      <c r="C112" s="6" t="s">
        <v>274</v>
      </c>
      <c r="D112" s="3"/>
      <c r="E112" s="3" t="s">
        <v>701</v>
      </c>
      <c r="F112" s="7" t="s">
        <v>1121</v>
      </c>
      <c r="G112" s="3" t="s">
        <v>1122</v>
      </c>
    </row>
    <row r="113" spans="2:7" ht="32" x14ac:dyDescent="0.2">
      <c r="B113" s="3" t="s">
        <v>1123</v>
      </c>
      <c r="C113" s="6" t="s">
        <v>274</v>
      </c>
      <c r="D113" s="3"/>
      <c r="E113" s="3" t="s">
        <v>675</v>
      </c>
      <c r="F113" s="7" t="s">
        <v>1124</v>
      </c>
    </row>
    <row r="114" spans="2:7" ht="32" x14ac:dyDescent="0.2">
      <c r="B114" s="3" t="s">
        <v>1125</v>
      </c>
      <c r="C114" s="6" t="s">
        <v>274</v>
      </c>
      <c r="D114" s="3"/>
      <c r="E114" s="3" t="s">
        <v>675</v>
      </c>
      <c r="F114" s="7" t="s">
        <v>1126</v>
      </c>
    </row>
    <row r="115" spans="2:7" ht="32" x14ac:dyDescent="0.2">
      <c r="B115" s="3" t="s">
        <v>1127</v>
      </c>
      <c r="C115" s="6" t="s">
        <v>274</v>
      </c>
      <c r="D115" s="3"/>
      <c r="E115" s="3" t="s">
        <v>701</v>
      </c>
      <c r="F115" s="7" t="s">
        <v>1128</v>
      </c>
      <c r="G115" s="3" t="s">
        <v>1122</v>
      </c>
    </row>
    <row r="116" spans="2:7" ht="32" x14ac:dyDescent="0.2">
      <c r="B116" s="3" t="s">
        <v>1129</v>
      </c>
      <c r="C116" s="6" t="s">
        <v>274</v>
      </c>
      <c r="D116" s="3"/>
      <c r="E116" s="3" t="s">
        <v>675</v>
      </c>
      <c r="F116" s="7" t="s">
        <v>1126</v>
      </c>
    </row>
    <row r="117" spans="2:7" ht="32" x14ac:dyDescent="0.2">
      <c r="B117" s="3" t="s">
        <v>1130</v>
      </c>
      <c r="C117" s="6" t="s">
        <v>274</v>
      </c>
      <c r="D117" s="3"/>
      <c r="E117" s="3" t="s">
        <v>675</v>
      </c>
      <c r="F117" s="7" t="s">
        <v>1131</v>
      </c>
    </row>
    <row r="118" spans="2:7" ht="32" x14ac:dyDescent="0.2">
      <c r="B118" s="3" t="s">
        <v>1132</v>
      </c>
      <c r="C118" s="6" t="s">
        <v>274</v>
      </c>
      <c r="D118" s="3"/>
      <c r="E118" s="3" t="s">
        <v>675</v>
      </c>
      <c r="F118" s="7" t="s">
        <v>1133</v>
      </c>
    </row>
    <row r="119" spans="2:7" ht="16" x14ac:dyDescent="0.2">
      <c r="B119" s="3" t="s">
        <v>1134</v>
      </c>
      <c r="C119" s="6" t="s">
        <v>274</v>
      </c>
      <c r="D119" s="3"/>
      <c r="E119" s="3" t="s">
        <v>701</v>
      </c>
      <c r="F119" s="7" t="s">
        <v>1135</v>
      </c>
      <c r="G119" s="3" t="s">
        <v>1136</v>
      </c>
    </row>
    <row r="120" spans="2:7" ht="32" x14ac:dyDescent="0.2">
      <c r="B120" s="3" t="s">
        <v>1137</v>
      </c>
      <c r="C120" s="6" t="s">
        <v>274</v>
      </c>
      <c r="D120" s="3"/>
      <c r="E120" s="3" t="s">
        <v>701</v>
      </c>
      <c r="F120" s="7" t="s">
        <v>1138</v>
      </c>
      <c r="G120" s="3" t="s">
        <v>1139</v>
      </c>
    </row>
    <row r="121" spans="2:7" ht="16" x14ac:dyDescent="0.2">
      <c r="B121" s="3" t="s">
        <v>1140</v>
      </c>
      <c r="C121" s="6" t="s">
        <v>274</v>
      </c>
      <c r="D121" s="3"/>
      <c r="E121" s="3" t="s">
        <v>701</v>
      </c>
      <c r="F121" s="7" t="s">
        <v>1141</v>
      </c>
      <c r="G121" s="3" t="s">
        <v>1142</v>
      </c>
    </row>
    <row r="122" spans="2:7" ht="16" x14ac:dyDescent="0.2">
      <c r="B122" s="3" t="s">
        <v>1143</v>
      </c>
      <c r="C122" s="6" t="s">
        <v>274</v>
      </c>
      <c r="D122" s="3"/>
      <c r="E122" s="3" t="s">
        <v>675</v>
      </c>
      <c r="F122" s="7" t="s">
        <v>1144</v>
      </c>
    </row>
    <row r="123" spans="2:7" ht="16" x14ac:dyDescent="0.2">
      <c r="B123" s="3" t="s">
        <v>1145</v>
      </c>
      <c r="C123" s="6" t="s">
        <v>274</v>
      </c>
      <c r="D123" s="3"/>
      <c r="E123" s="3" t="s">
        <v>701</v>
      </c>
      <c r="F123" s="7" t="s">
        <v>1146</v>
      </c>
      <c r="G123" s="3" t="s">
        <v>1147</v>
      </c>
    </row>
    <row r="124" spans="2:7" ht="16" x14ac:dyDescent="0.2">
      <c r="B124" s="3" t="s">
        <v>1148</v>
      </c>
      <c r="C124" s="6" t="s">
        <v>274</v>
      </c>
      <c r="D124" s="3"/>
      <c r="E124" s="3" t="s">
        <v>675</v>
      </c>
      <c r="F124" s="7" t="s">
        <v>1149</v>
      </c>
    </row>
    <row r="125" spans="2:7" ht="32" x14ac:dyDescent="0.2">
      <c r="B125" s="3" t="s">
        <v>1150</v>
      </c>
      <c r="C125" s="6" t="s">
        <v>274</v>
      </c>
      <c r="D125" s="3"/>
      <c r="E125" s="3" t="s">
        <v>701</v>
      </c>
      <c r="F125" s="7" t="s">
        <v>1151</v>
      </c>
      <c r="G125" s="3" t="s">
        <v>1152</v>
      </c>
    </row>
    <row r="126" spans="2:7" ht="32" x14ac:dyDescent="0.2">
      <c r="B126" s="3" t="s">
        <v>1153</v>
      </c>
      <c r="C126" s="6" t="s">
        <v>274</v>
      </c>
      <c r="D126" s="3"/>
      <c r="E126" s="3" t="s">
        <v>701</v>
      </c>
      <c r="F126" s="7" t="s">
        <v>1154</v>
      </c>
      <c r="G126" s="3" t="s">
        <v>1155</v>
      </c>
    </row>
    <row r="127" spans="2:7" ht="48" x14ac:dyDescent="0.2">
      <c r="B127" s="3" t="s">
        <v>1156</v>
      </c>
      <c r="C127" s="6" t="s">
        <v>274</v>
      </c>
      <c r="D127" s="3"/>
      <c r="E127" s="3" t="s">
        <v>701</v>
      </c>
      <c r="F127" s="7" t="s">
        <v>1157</v>
      </c>
      <c r="G127" s="3" t="s">
        <v>1158</v>
      </c>
    </row>
    <row r="128" spans="2:7" ht="48" x14ac:dyDescent="0.2">
      <c r="B128" s="3" t="s">
        <v>1159</v>
      </c>
      <c r="C128" s="6" t="s">
        <v>274</v>
      </c>
      <c r="D128" s="3"/>
      <c r="E128" s="3" t="s">
        <v>701</v>
      </c>
      <c r="F128" s="7" t="s">
        <v>1160</v>
      </c>
      <c r="G128" s="3" t="s">
        <v>1161</v>
      </c>
    </row>
    <row r="129" spans="1:7" ht="48" x14ac:dyDescent="0.2">
      <c r="B129" s="3" t="s">
        <v>1162</v>
      </c>
      <c r="C129" s="6" t="s">
        <v>274</v>
      </c>
      <c r="D129" s="3"/>
      <c r="E129" s="3" t="s">
        <v>675</v>
      </c>
      <c r="F129" s="7" t="s">
        <v>1163</v>
      </c>
    </row>
    <row r="130" spans="1:7" ht="48" x14ac:dyDescent="0.2">
      <c r="B130" s="3" t="s">
        <v>1164</v>
      </c>
      <c r="C130" s="6" t="s">
        <v>274</v>
      </c>
      <c r="D130" s="3"/>
      <c r="E130" s="3" t="s">
        <v>675</v>
      </c>
      <c r="F130" s="7" t="s">
        <v>1163</v>
      </c>
    </row>
    <row r="131" spans="1:7" ht="32" x14ac:dyDescent="0.2">
      <c r="B131" s="3" t="s">
        <v>1165</v>
      </c>
      <c r="C131" s="6" t="s">
        <v>274</v>
      </c>
      <c r="D131" s="3"/>
      <c r="E131" s="3" t="s">
        <v>701</v>
      </c>
      <c r="F131" s="7" t="s">
        <v>1166</v>
      </c>
      <c r="G131" s="3" t="s">
        <v>1167</v>
      </c>
    </row>
    <row r="132" spans="1:7" ht="16" x14ac:dyDescent="0.2">
      <c r="B132" s="3" t="s">
        <v>1168</v>
      </c>
      <c r="C132" s="6" t="s">
        <v>274</v>
      </c>
      <c r="D132" s="3"/>
      <c r="E132" s="3" t="s">
        <v>701</v>
      </c>
    </row>
    <row r="133" spans="1:7" x14ac:dyDescent="0.2">
      <c r="D133" s="3"/>
      <c r="E133" s="3"/>
    </row>
    <row r="134" spans="1:7" ht="16" x14ac:dyDescent="0.2">
      <c r="A134" s="6" t="s">
        <v>1169</v>
      </c>
      <c r="D134" s="3"/>
      <c r="E134" s="3"/>
      <c r="G134" s="3" t="s">
        <v>1170</v>
      </c>
    </row>
    <row r="135" spans="1:7" ht="16" x14ac:dyDescent="0.2">
      <c r="B135" s="3" t="s">
        <v>1171</v>
      </c>
      <c r="C135" s="6" t="s">
        <v>274</v>
      </c>
      <c r="D135" s="3"/>
      <c r="E135" s="3" t="s">
        <v>675</v>
      </c>
      <c r="F135" s="7" t="s">
        <v>1172</v>
      </c>
    </row>
    <row r="136" spans="1:7" ht="32" x14ac:dyDescent="0.2">
      <c r="B136" s="3" t="s">
        <v>1173</v>
      </c>
      <c r="C136" s="6" t="s">
        <v>274</v>
      </c>
      <c r="D136" s="3"/>
      <c r="E136" s="3" t="s">
        <v>701</v>
      </c>
      <c r="F136" s="7" t="s">
        <v>1174</v>
      </c>
      <c r="G136" s="3" t="s">
        <v>1175</v>
      </c>
    </row>
    <row r="137" spans="1:7" ht="16" x14ac:dyDescent="0.2">
      <c r="B137" s="3" t="s">
        <v>1176</v>
      </c>
      <c r="C137" s="6" t="s">
        <v>274</v>
      </c>
      <c r="D137" s="3"/>
      <c r="E137" s="3" t="s">
        <v>675</v>
      </c>
      <c r="F137" s="7" t="s">
        <v>1177</v>
      </c>
    </row>
    <row r="138" spans="1:7" ht="16" x14ac:dyDescent="0.2">
      <c r="B138" s="3" t="s">
        <v>1178</v>
      </c>
      <c r="C138" s="6" t="s">
        <v>274</v>
      </c>
      <c r="D138" s="3"/>
      <c r="E138" s="3" t="s">
        <v>675</v>
      </c>
      <c r="F138" s="7" t="s">
        <v>1179</v>
      </c>
    </row>
    <row r="139" spans="1:7" ht="16" x14ac:dyDescent="0.2">
      <c r="B139" s="3" t="s">
        <v>1180</v>
      </c>
      <c r="C139" s="6" t="s">
        <v>274</v>
      </c>
      <c r="D139" s="3"/>
      <c r="E139" s="3" t="s">
        <v>675</v>
      </c>
      <c r="F139" s="7" t="s">
        <v>1181</v>
      </c>
    </row>
    <row r="140" spans="1:7" ht="32" x14ac:dyDescent="0.2">
      <c r="B140" s="3" t="s">
        <v>1182</v>
      </c>
      <c r="C140" s="6" t="s">
        <v>274</v>
      </c>
      <c r="D140" s="3"/>
      <c r="E140" s="3" t="s">
        <v>701</v>
      </c>
      <c r="F140" s="7" t="s">
        <v>1183</v>
      </c>
    </row>
    <row r="141" spans="1:7" ht="16" x14ac:dyDescent="0.2">
      <c r="B141" s="3" t="s">
        <v>1184</v>
      </c>
      <c r="C141" s="6" t="s">
        <v>274</v>
      </c>
      <c r="D141" s="3"/>
      <c r="E141" s="3" t="s">
        <v>675</v>
      </c>
      <c r="F141" s="7" t="s">
        <v>1185</v>
      </c>
    </row>
    <row r="142" spans="1:7" ht="16" x14ac:dyDescent="0.2">
      <c r="B142" s="3" t="s">
        <v>1186</v>
      </c>
      <c r="C142" s="6" t="s">
        <v>274</v>
      </c>
      <c r="D142" s="3"/>
      <c r="E142" s="3" t="s">
        <v>675</v>
      </c>
      <c r="F142" s="7" t="s">
        <v>1187</v>
      </c>
    </row>
    <row r="143" spans="1:7" ht="16" x14ac:dyDescent="0.2">
      <c r="B143" s="3" t="s">
        <v>1188</v>
      </c>
      <c r="C143" s="6" t="s">
        <v>274</v>
      </c>
      <c r="D143" s="3"/>
      <c r="E143" s="3" t="s">
        <v>1115</v>
      </c>
      <c r="F143" s="7" t="s">
        <v>1189</v>
      </c>
      <c r="G143" s="3" t="s">
        <v>1190</v>
      </c>
    </row>
    <row r="144" spans="1:7" ht="16" x14ac:dyDescent="0.2">
      <c r="B144" s="3" t="s">
        <v>1191</v>
      </c>
      <c r="C144" s="6" t="s">
        <v>274</v>
      </c>
      <c r="E144" s="6" t="s">
        <v>1115</v>
      </c>
      <c r="F144" s="7" t="s">
        <v>1192</v>
      </c>
      <c r="G144" s="3" t="s">
        <v>1190</v>
      </c>
    </row>
    <row r="145" spans="2:7" ht="32" x14ac:dyDescent="0.2">
      <c r="B145" s="3" t="s">
        <v>1193</v>
      </c>
      <c r="C145" s="6" t="s">
        <v>274</v>
      </c>
      <c r="E145" s="6" t="s">
        <v>675</v>
      </c>
      <c r="F145" s="7" t="s">
        <v>1194</v>
      </c>
    </row>
    <row r="146" spans="2:7" ht="16" x14ac:dyDescent="0.2">
      <c r="B146" s="3" t="s">
        <v>1195</v>
      </c>
      <c r="C146" s="6" t="s">
        <v>274</v>
      </c>
      <c r="E146" s="6" t="s">
        <v>701</v>
      </c>
      <c r="F146" s="7" t="s">
        <v>1196</v>
      </c>
    </row>
    <row r="147" spans="2:7" ht="16" x14ac:dyDescent="0.2">
      <c r="B147" s="3" t="s">
        <v>1197</v>
      </c>
      <c r="C147" s="6" t="s">
        <v>274</v>
      </c>
      <c r="E147" s="6" t="s">
        <v>675</v>
      </c>
      <c r="F147" s="7" t="s">
        <v>1198</v>
      </c>
    </row>
    <row r="148" spans="2:7" ht="16" x14ac:dyDescent="0.2">
      <c r="B148" s="3" t="s">
        <v>1199</v>
      </c>
      <c r="C148" s="6" t="s">
        <v>274</v>
      </c>
      <c r="D148" s="3"/>
      <c r="E148" s="3" t="s">
        <v>701</v>
      </c>
      <c r="F148" s="7" t="s">
        <v>1200</v>
      </c>
      <c r="G148" s="3" t="s">
        <v>1201</v>
      </c>
    </row>
    <row r="149" spans="2:7" ht="16" x14ac:dyDescent="0.2">
      <c r="B149" s="3" t="s">
        <v>1202</v>
      </c>
      <c r="C149" s="6" t="s">
        <v>274</v>
      </c>
      <c r="D149" s="3"/>
      <c r="E149" s="3" t="s">
        <v>675</v>
      </c>
      <c r="F149" s="7" t="s">
        <v>1203</v>
      </c>
    </row>
    <row r="150" spans="2:7" ht="16" x14ac:dyDescent="0.2">
      <c r="B150" s="3" t="s">
        <v>1204</v>
      </c>
      <c r="C150" s="6" t="s">
        <v>274</v>
      </c>
      <c r="D150" s="3"/>
      <c r="E150" s="3" t="s">
        <v>675</v>
      </c>
      <c r="F150" s="7" t="s">
        <v>1205</v>
      </c>
    </row>
    <row r="151" spans="2:7" ht="16" x14ac:dyDescent="0.2">
      <c r="B151" s="3" t="s">
        <v>1206</v>
      </c>
      <c r="C151" s="6" t="s">
        <v>274</v>
      </c>
      <c r="D151" s="3"/>
      <c r="E151" s="3" t="s">
        <v>675</v>
      </c>
      <c r="F151" s="7" t="s">
        <v>1207</v>
      </c>
    </row>
    <row r="152" spans="2:7" ht="16" x14ac:dyDescent="0.2">
      <c r="B152" s="3" t="s">
        <v>1208</v>
      </c>
      <c r="C152" s="6" t="s">
        <v>274</v>
      </c>
      <c r="D152" s="3"/>
      <c r="E152" s="3" t="s">
        <v>675</v>
      </c>
      <c r="F152" s="7" t="s">
        <v>1209</v>
      </c>
    </row>
    <row r="153" spans="2:7" ht="16" x14ac:dyDescent="0.2">
      <c r="B153" s="3" t="s">
        <v>1210</v>
      </c>
      <c r="C153" s="6" t="s">
        <v>274</v>
      </c>
      <c r="D153" s="3"/>
      <c r="E153" s="3" t="s">
        <v>675</v>
      </c>
      <c r="F153" s="7" t="s">
        <v>1211</v>
      </c>
    </row>
    <row r="154" spans="2:7" ht="16" x14ac:dyDescent="0.2">
      <c r="B154" s="3" t="s">
        <v>1212</v>
      </c>
      <c r="C154" s="6" t="s">
        <v>274</v>
      </c>
      <c r="D154" s="3"/>
      <c r="E154" s="3" t="s">
        <v>675</v>
      </c>
      <c r="F154" s="7" t="s">
        <v>1213</v>
      </c>
    </row>
    <row r="155" spans="2:7" ht="16" x14ac:dyDescent="0.2">
      <c r="B155" s="3" t="s">
        <v>1214</v>
      </c>
      <c r="C155" s="6" t="s">
        <v>274</v>
      </c>
      <c r="D155" s="3"/>
      <c r="E155" s="3" t="s">
        <v>675</v>
      </c>
      <c r="F155" s="7" t="s">
        <v>1215</v>
      </c>
    </row>
    <row r="156" spans="2:7" ht="16" x14ac:dyDescent="0.2">
      <c r="B156" s="3" t="s">
        <v>1216</v>
      </c>
      <c r="C156" s="6" t="s">
        <v>274</v>
      </c>
      <c r="D156" s="3"/>
      <c r="E156" s="3" t="s">
        <v>675</v>
      </c>
      <c r="F156" s="7" t="s">
        <v>1217</v>
      </c>
    </row>
    <row r="157" spans="2:7" ht="16" x14ac:dyDescent="0.2">
      <c r="B157" s="3" t="s">
        <v>1218</v>
      </c>
      <c r="C157" s="6" t="s">
        <v>274</v>
      </c>
      <c r="D157" s="3"/>
      <c r="E157" s="3" t="s">
        <v>675</v>
      </c>
      <c r="F157" s="7" t="s">
        <v>1219</v>
      </c>
    </row>
    <row r="158" spans="2:7" ht="16" x14ac:dyDescent="0.2">
      <c r="B158" s="3" t="s">
        <v>1220</v>
      </c>
      <c r="C158" s="6" t="s">
        <v>274</v>
      </c>
      <c r="D158" s="3"/>
      <c r="E158" s="3" t="s">
        <v>675</v>
      </c>
      <c r="F158" s="7" t="s">
        <v>1221</v>
      </c>
    </row>
    <row r="159" spans="2:7" ht="16" x14ac:dyDescent="0.2">
      <c r="B159" s="3" t="s">
        <v>1222</v>
      </c>
      <c r="C159" s="6" t="s">
        <v>274</v>
      </c>
      <c r="D159" s="3"/>
      <c r="E159" s="3" t="s">
        <v>675</v>
      </c>
      <c r="F159" s="7" t="s">
        <v>1223</v>
      </c>
    </row>
    <row r="160" spans="2:7" ht="16" x14ac:dyDescent="0.2">
      <c r="B160" s="3" t="s">
        <v>1224</v>
      </c>
      <c r="C160" s="6" t="s">
        <v>274</v>
      </c>
      <c r="D160" s="3"/>
      <c r="E160" s="3" t="s">
        <v>675</v>
      </c>
      <c r="F160" s="7" t="s">
        <v>1225</v>
      </c>
    </row>
    <row r="161" spans="1:7" ht="16" x14ac:dyDescent="0.2">
      <c r="B161" s="3" t="s">
        <v>1226</v>
      </c>
      <c r="C161" s="6" t="s">
        <v>274</v>
      </c>
      <c r="D161" s="3"/>
      <c r="E161" s="3" t="s">
        <v>675</v>
      </c>
      <c r="F161" s="7" t="s">
        <v>1227</v>
      </c>
    </row>
    <row r="162" spans="1:7" ht="16" x14ac:dyDescent="0.2">
      <c r="B162" s="3" t="s">
        <v>1228</v>
      </c>
      <c r="C162" s="6" t="s">
        <v>274</v>
      </c>
      <c r="D162" s="3"/>
      <c r="E162" s="3" t="s">
        <v>675</v>
      </c>
      <c r="F162" s="7" t="s">
        <v>1229</v>
      </c>
    </row>
    <row r="163" spans="1:7" ht="16" x14ac:dyDescent="0.2">
      <c r="B163" s="3" t="s">
        <v>1230</v>
      </c>
      <c r="C163" s="6" t="s">
        <v>274</v>
      </c>
      <c r="D163" s="3"/>
      <c r="E163" s="3" t="s">
        <v>675</v>
      </c>
      <c r="F163" s="7" t="s">
        <v>1231</v>
      </c>
    </row>
    <row r="164" spans="1:7" ht="16" x14ac:dyDescent="0.2">
      <c r="B164" s="3" t="s">
        <v>1232</v>
      </c>
      <c r="C164" s="6" t="s">
        <v>274</v>
      </c>
      <c r="D164" s="3"/>
      <c r="E164" s="3" t="s">
        <v>675</v>
      </c>
      <c r="F164" s="7" t="s">
        <v>1233</v>
      </c>
    </row>
    <row r="165" spans="1:7" x14ac:dyDescent="0.2">
      <c r="D165" s="3"/>
      <c r="E165" s="3"/>
    </row>
    <row r="166" spans="1:7" ht="96" x14ac:dyDescent="0.2">
      <c r="A166" s="6" t="s">
        <v>1234</v>
      </c>
      <c r="D166" s="3"/>
      <c r="E166" s="3"/>
      <c r="G166" s="3" t="s">
        <v>1235</v>
      </c>
    </row>
    <row r="167" spans="1:7" ht="16" x14ac:dyDescent="0.2">
      <c r="B167" s="3" t="s">
        <v>1236</v>
      </c>
      <c r="C167" s="6" t="s">
        <v>274</v>
      </c>
      <c r="D167" s="3"/>
      <c r="E167" s="3" t="s">
        <v>701</v>
      </c>
      <c r="F167" s="7" t="s">
        <v>1237</v>
      </c>
      <c r="G167" s="3" t="s">
        <v>1238</v>
      </c>
    </row>
    <row r="168" spans="1:7" ht="48" x14ac:dyDescent="0.2">
      <c r="B168" s="3" t="s">
        <v>1239</v>
      </c>
      <c r="C168" s="6" t="s">
        <v>274</v>
      </c>
      <c r="D168" s="3"/>
      <c r="E168" s="3" t="s">
        <v>701</v>
      </c>
      <c r="F168" s="7" t="s">
        <v>1240</v>
      </c>
      <c r="G168" s="3" t="s">
        <v>1241</v>
      </c>
    </row>
    <row r="169" spans="1:7" ht="32" x14ac:dyDescent="0.2">
      <c r="B169" s="3" t="s">
        <v>1242</v>
      </c>
      <c r="C169" s="6" t="s">
        <v>1243</v>
      </c>
      <c r="D169" s="3"/>
      <c r="E169" s="3" t="s">
        <v>675</v>
      </c>
      <c r="F169" s="7" t="s">
        <v>1244</v>
      </c>
      <c r="G169" s="3" t="s">
        <v>1245</v>
      </c>
    </row>
    <row r="170" spans="1:7" ht="32" x14ac:dyDescent="0.2">
      <c r="B170" s="3" t="s">
        <v>1246</v>
      </c>
      <c r="C170" s="6" t="s">
        <v>274</v>
      </c>
      <c r="D170" s="3"/>
      <c r="E170" s="3" t="s">
        <v>701</v>
      </c>
      <c r="F170" s="7" t="s">
        <v>1247</v>
      </c>
      <c r="G170" s="3" t="s">
        <v>1248</v>
      </c>
    </row>
    <row r="171" spans="1:7" ht="32" x14ac:dyDescent="0.2">
      <c r="B171" s="3" t="s">
        <v>1249</v>
      </c>
      <c r="C171" s="6" t="s">
        <v>274</v>
      </c>
      <c r="D171" s="3"/>
      <c r="E171" s="3" t="s">
        <v>701</v>
      </c>
      <c r="F171" s="7" t="s">
        <v>1250</v>
      </c>
      <c r="G171" s="3" t="s">
        <v>1251</v>
      </c>
    </row>
    <row r="172" spans="1:7" ht="32" x14ac:dyDescent="0.2">
      <c r="B172" s="3" t="s">
        <v>1252</v>
      </c>
      <c r="C172" s="6" t="s">
        <v>274</v>
      </c>
      <c r="D172" s="3"/>
      <c r="E172" s="3" t="s">
        <v>701</v>
      </c>
      <c r="F172" s="7" t="s">
        <v>1253</v>
      </c>
      <c r="G172" s="3" t="s">
        <v>1254</v>
      </c>
    </row>
    <row r="173" spans="1:7" ht="32" x14ac:dyDescent="0.2">
      <c r="B173" s="3" t="s">
        <v>1255</v>
      </c>
      <c r="C173" s="6" t="s">
        <v>274</v>
      </c>
      <c r="D173" s="3"/>
      <c r="E173" s="3" t="s">
        <v>701</v>
      </c>
      <c r="F173" s="7" t="s">
        <v>1256</v>
      </c>
    </row>
    <row r="174" spans="1:7" ht="32" x14ac:dyDescent="0.2">
      <c r="B174" s="3" t="s">
        <v>1257</v>
      </c>
      <c r="C174" s="6" t="s">
        <v>274</v>
      </c>
      <c r="D174" s="3"/>
      <c r="E174" s="3" t="s">
        <v>701</v>
      </c>
      <c r="F174" s="7" t="s">
        <v>1258</v>
      </c>
      <c r="G174" s="3" t="s">
        <v>1259</v>
      </c>
    </row>
    <row r="175" spans="1:7" ht="32" x14ac:dyDescent="0.2">
      <c r="B175" s="3" t="s">
        <v>1260</v>
      </c>
      <c r="C175" s="6" t="s">
        <v>274</v>
      </c>
      <c r="D175" s="3"/>
      <c r="E175" s="3" t="s">
        <v>701</v>
      </c>
      <c r="F175" s="7" t="s">
        <v>1261</v>
      </c>
      <c r="G175" s="3" t="s">
        <v>1262</v>
      </c>
    </row>
    <row r="176" spans="1:7" ht="48" x14ac:dyDescent="0.2">
      <c r="B176" s="3" t="s">
        <v>1263</v>
      </c>
      <c r="C176" s="6" t="s">
        <v>274</v>
      </c>
      <c r="E176" s="3" t="s">
        <v>701</v>
      </c>
      <c r="F176" s="7" t="s">
        <v>1264</v>
      </c>
      <c r="G176" s="3" t="s">
        <v>1265</v>
      </c>
    </row>
    <row r="177" spans="2:7" s="6" customFormat="1" ht="64" x14ac:dyDescent="0.2">
      <c r="B177" s="3" t="s">
        <v>1266</v>
      </c>
      <c r="C177" s="6" t="s">
        <v>274</v>
      </c>
      <c r="E177" s="3" t="s">
        <v>701</v>
      </c>
      <c r="G177" s="3" t="s">
        <v>1267</v>
      </c>
    </row>
    <row r="178" spans="2:7" ht="48" x14ac:dyDescent="0.2">
      <c r="B178" s="3" t="s">
        <v>1268</v>
      </c>
      <c r="C178" s="6" t="s">
        <v>274</v>
      </c>
      <c r="D178" s="3"/>
      <c r="E178" s="3" t="s">
        <v>701</v>
      </c>
      <c r="F178" s="7" t="s">
        <v>1269</v>
      </c>
      <c r="G178" s="3" t="s">
        <v>1270</v>
      </c>
    </row>
    <row r="179" spans="2:7" ht="16" x14ac:dyDescent="0.2">
      <c r="B179" s="3" t="s">
        <v>1271</v>
      </c>
      <c r="C179" s="6" t="s">
        <v>174</v>
      </c>
      <c r="D179" s="3"/>
      <c r="E179" s="3" t="s">
        <v>675</v>
      </c>
      <c r="F179" s="7" t="s">
        <v>1272</v>
      </c>
      <c r="G179" s="3" t="s">
        <v>1245</v>
      </c>
    </row>
    <row r="180" spans="2:7" ht="16" x14ac:dyDescent="0.2">
      <c r="B180" s="3" t="s">
        <v>1273</v>
      </c>
      <c r="C180" s="6" t="s">
        <v>274</v>
      </c>
      <c r="D180" s="3"/>
      <c r="E180" s="3" t="s">
        <v>925</v>
      </c>
      <c r="F180" s="7" t="s">
        <v>1274</v>
      </c>
      <c r="G180" s="3" t="s">
        <v>1275</v>
      </c>
    </row>
    <row r="181" spans="2:7" ht="32" x14ac:dyDescent="0.2">
      <c r="B181" s="6" t="s">
        <v>1276</v>
      </c>
      <c r="C181" s="6" t="s">
        <v>274</v>
      </c>
      <c r="E181" s="3" t="s">
        <v>701</v>
      </c>
      <c r="F181" s="7" t="s">
        <v>1277</v>
      </c>
      <c r="G181" s="3" t="s">
        <v>1278</v>
      </c>
    </row>
    <row r="182" spans="2:7" ht="48" x14ac:dyDescent="0.2">
      <c r="B182" s="3" t="s">
        <v>1279</v>
      </c>
      <c r="C182" s="6" t="s">
        <v>274</v>
      </c>
      <c r="E182" s="3" t="s">
        <v>701</v>
      </c>
      <c r="F182" s="7" t="s">
        <v>1280</v>
      </c>
      <c r="G182" s="3" t="s">
        <v>1281</v>
      </c>
    </row>
    <row r="183" spans="2:7" ht="32" x14ac:dyDescent="0.2">
      <c r="B183" s="3" t="s">
        <v>1282</v>
      </c>
      <c r="C183" s="6" t="s">
        <v>274</v>
      </c>
      <c r="E183" s="3" t="s">
        <v>701</v>
      </c>
      <c r="F183" s="7" t="s">
        <v>1283</v>
      </c>
      <c r="G183" s="3" t="s">
        <v>1284</v>
      </c>
    </row>
    <row r="184" spans="2:7" ht="64" x14ac:dyDescent="0.2">
      <c r="B184" s="3" t="s">
        <v>1285</v>
      </c>
      <c r="C184" s="6" t="s">
        <v>274</v>
      </c>
      <c r="E184" s="3" t="s">
        <v>701</v>
      </c>
      <c r="F184" s="7" t="s">
        <v>1286</v>
      </c>
      <c r="G184" s="3" t="s">
        <v>1287</v>
      </c>
    </row>
    <row r="185" spans="2:7" ht="32" x14ac:dyDescent="0.2">
      <c r="B185" s="3" t="s">
        <v>1288</v>
      </c>
      <c r="C185" s="6" t="s">
        <v>274</v>
      </c>
      <c r="E185" s="3" t="s">
        <v>701</v>
      </c>
      <c r="F185" s="7" t="s">
        <v>1289</v>
      </c>
      <c r="G185" s="3" t="s">
        <v>1290</v>
      </c>
    </row>
    <row r="186" spans="2:7" ht="16" x14ac:dyDescent="0.2">
      <c r="B186" s="3" t="s">
        <v>1291</v>
      </c>
      <c r="C186" s="6" t="s">
        <v>274</v>
      </c>
      <c r="E186" s="3" t="s">
        <v>1115</v>
      </c>
      <c r="F186" s="7" t="s">
        <v>1292</v>
      </c>
      <c r="G186" s="3" t="s">
        <v>1293</v>
      </c>
    </row>
    <row r="187" spans="2:7" ht="32" x14ac:dyDescent="0.2">
      <c r="B187" s="3" t="s">
        <v>1294</v>
      </c>
      <c r="C187" s="6" t="s">
        <v>274</v>
      </c>
      <c r="E187" s="3" t="s">
        <v>701</v>
      </c>
      <c r="F187" s="7" t="s">
        <v>1295</v>
      </c>
      <c r="G187" s="3" t="s">
        <v>1296</v>
      </c>
    </row>
    <row r="188" spans="2:7" ht="32" x14ac:dyDescent="0.2">
      <c r="B188" s="3" t="s">
        <v>1297</v>
      </c>
      <c r="C188" s="6" t="s">
        <v>274</v>
      </c>
      <c r="E188" s="3" t="s">
        <v>701</v>
      </c>
      <c r="F188" s="7" t="s">
        <v>1298</v>
      </c>
      <c r="G188" s="3" t="s">
        <v>1299</v>
      </c>
    </row>
    <row r="189" spans="2:7" ht="16" x14ac:dyDescent="0.2">
      <c r="B189" s="3" t="s">
        <v>1300</v>
      </c>
      <c r="C189" s="6" t="s">
        <v>274</v>
      </c>
      <c r="E189" s="3" t="s">
        <v>675</v>
      </c>
      <c r="F189" s="7" t="s">
        <v>1301</v>
      </c>
    </row>
    <row r="190" spans="2:7" ht="32" x14ac:dyDescent="0.2">
      <c r="B190" s="3" t="s">
        <v>1302</v>
      </c>
      <c r="C190" s="6" t="s">
        <v>274</v>
      </c>
      <c r="E190" s="3" t="s">
        <v>701</v>
      </c>
      <c r="F190" s="7" t="s">
        <v>1303</v>
      </c>
      <c r="G190" s="3" t="s">
        <v>1304</v>
      </c>
    </row>
    <row r="191" spans="2:7" ht="32" x14ac:dyDescent="0.2">
      <c r="B191" s="3" t="s">
        <v>1305</v>
      </c>
      <c r="C191" s="6" t="s">
        <v>274</v>
      </c>
      <c r="E191" s="3" t="s">
        <v>701</v>
      </c>
      <c r="F191" s="7" t="s">
        <v>1306</v>
      </c>
      <c r="G191" s="3" t="s">
        <v>1307</v>
      </c>
    </row>
    <row r="192" spans="2:7" ht="32" x14ac:dyDescent="0.2">
      <c r="B192" s="3" t="s">
        <v>1308</v>
      </c>
      <c r="C192" s="6" t="s">
        <v>274</v>
      </c>
      <c r="E192" s="3" t="s">
        <v>675</v>
      </c>
      <c r="F192" s="7" t="s">
        <v>1309</v>
      </c>
    </row>
    <row r="193" spans="1:7" ht="32" x14ac:dyDescent="0.2">
      <c r="B193" s="3" t="s">
        <v>1310</v>
      </c>
      <c r="C193" s="6" t="s">
        <v>274</v>
      </c>
      <c r="E193" s="3" t="s">
        <v>675</v>
      </c>
      <c r="F193" s="7" t="s">
        <v>1311</v>
      </c>
    </row>
    <row r="194" spans="1:7" ht="32" x14ac:dyDescent="0.2">
      <c r="B194" s="3" t="s">
        <v>1312</v>
      </c>
      <c r="C194" s="6" t="s">
        <v>274</v>
      </c>
      <c r="E194" s="3" t="s">
        <v>675</v>
      </c>
      <c r="F194" s="7" t="s">
        <v>1313</v>
      </c>
    </row>
    <row r="195" spans="1:7" ht="32" x14ac:dyDescent="0.2">
      <c r="B195" s="3" t="s">
        <v>1314</v>
      </c>
      <c r="C195" s="6" t="s">
        <v>274</v>
      </c>
      <c r="E195" s="3" t="s">
        <v>701</v>
      </c>
      <c r="F195" s="7" t="s">
        <v>1315</v>
      </c>
      <c r="G195" s="3" t="s">
        <v>1316</v>
      </c>
    </row>
    <row r="196" spans="1:7" ht="32" x14ac:dyDescent="0.2">
      <c r="B196" s="3" t="s">
        <v>1317</v>
      </c>
      <c r="C196" s="6" t="s">
        <v>274</v>
      </c>
      <c r="E196" s="3" t="s">
        <v>675</v>
      </c>
      <c r="F196" s="7" t="s">
        <v>1318</v>
      </c>
    </row>
    <row r="197" spans="1:7" ht="32" x14ac:dyDescent="0.2">
      <c r="B197" s="3" t="s">
        <v>1319</v>
      </c>
      <c r="C197" s="6" t="s">
        <v>274</v>
      </c>
      <c r="E197" s="3" t="s">
        <v>1320</v>
      </c>
      <c r="F197" s="7" t="s">
        <v>1321</v>
      </c>
    </row>
    <row r="198" spans="1:7" ht="16" x14ac:dyDescent="0.2">
      <c r="B198" s="3" t="s">
        <v>1322</v>
      </c>
      <c r="C198" s="6" t="s">
        <v>274</v>
      </c>
      <c r="E198" s="3" t="s">
        <v>1320</v>
      </c>
      <c r="F198" s="7" t="s">
        <v>1323</v>
      </c>
    </row>
    <row r="199" spans="1:7" ht="32" x14ac:dyDescent="0.2">
      <c r="B199" s="3" t="s">
        <v>1324</v>
      </c>
      <c r="C199" s="6" t="s">
        <v>274</v>
      </c>
      <c r="E199" s="3" t="s">
        <v>1320</v>
      </c>
      <c r="F199" s="7" t="s">
        <v>1325</v>
      </c>
    </row>
    <row r="200" spans="1:7" ht="16" x14ac:dyDescent="0.2">
      <c r="B200" s="3" t="s">
        <v>1326</v>
      </c>
      <c r="C200" s="6" t="s">
        <v>274</v>
      </c>
      <c r="E200" s="3" t="s">
        <v>675</v>
      </c>
      <c r="F200" s="7" t="s">
        <v>1327</v>
      </c>
    </row>
    <row r="201" spans="1:7" ht="32" x14ac:dyDescent="0.2">
      <c r="B201" s="3" t="s">
        <v>1328</v>
      </c>
      <c r="C201" s="6" t="s">
        <v>274</v>
      </c>
      <c r="E201" s="3" t="s">
        <v>701</v>
      </c>
      <c r="F201" s="7" t="s">
        <v>1329</v>
      </c>
      <c r="G201" s="3" t="s">
        <v>1330</v>
      </c>
    </row>
    <row r="203" spans="1:7" x14ac:dyDescent="0.2">
      <c r="A203" s="6" t="s">
        <v>1331</v>
      </c>
    </row>
    <row r="204" spans="1:7" ht="16" x14ac:dyDescent="0.2">
      <c r="B204" s="3" t="s">
        <v>1332</v>
      </c>
      <c r="C204" s="6" t="s">
        <v>174</v>
      </c>
      <c r="D204" s="6" t="s">
        <v>1333</v>
      </c>
      <c r="E204" s="6" t="s">
        <v>675</v>
      </c>
      <c r="F204" s="7" t="s">
        <v>1334</v>
      </c>
    </row>
    <row r="205" spans="1:7" ht="16" x14ac:dyDescent="0.2">
      <c r="B205" s="3" t="s">
        <v>1335</v>
      </c>
      <c r="C205" s="6" t="s">
        <v>274</v>
      </c>
      <c r="D205" s="6" t="s">
        <v>1333</v>
      </c>
      <c r="E205" s="6" t="s">
        <v>675</v>
      </c>
      <c r="F205" s="7" t="s">
        <v>1336</v>
      </c>
    </row>
    <row r="206" spans="1:7" ht="16" x14ac:dyDescent="0.2">
      <c r="B206" s="3" t="s">
        <v>1337</v>
      </c>
      <c r="C206" s="6" t="s">
        <v>274</v>
      </c>
      <c r="D206" s="6" t="s">
        <v>1333</v>
      </c>
      <c r="E206" s="6" t="s">
        <v>675</v>
      </c>
      <c r="F206" s="7" t="s">
        <v>1338</v>
      </c>
    </row>
    <row r="207" spans="1:7" ht="16" x14ac:dyDescent="0.2">
      <c r="B207" s="3" t="s">
        <v>1339</v>
      </c>
      <c r="C207" s="6" t="s">
        <v>274</v>
      </c>
      <c r="D207" s="6" t="s">
        <v>1333</v>
      </c>
      <c r="E207" s="6" t="s">
        <v>675</v>
      </c>
      <c r="F207" s="7" t="s">
        <v>1340</v>
      </c>
    </row>
    <row r="208" spans="1:7" ht="16" x14ac:dyDescent="0.2">
      <c r="B208" s="3" t="s">
        <v>1341</v>
      </c>
      <c r="C208" s="6" t="s">
        <v>274</v>
      </c>
      <c r="D208" s="6" t="s">
        <v>1333</v>
      </c>
      <c r="E208" s="6" t="s">
        <v>675</v>
      </c>
      <c r="F208" s="7" t="s">
        <v>1342</v>
      </c>
    </row>
    <row r="209" spans="2:7" ht="16" x14ac:dyDescent="0.2">
      <c r="B209" s="3" t="s">
        <v>1343</v>
      </c>
      <c r="C209" s="6" t="s">
        <v>274</v>
      </c>
      <c r="D209" s="6" t="s">
        <v>1333</v>
      </c>
      <c r="E209" s="6" t="s">
        <v>675</v>
      </c>
      <c r="F209" s="7" t="s">
        <v>1344</v>
      </c>
    </row>
    <row r="210" spans="2:7" ht="16" x14ac:dyDescent="0.2">
      <c r="B210" s="3" t="s">
        <v>1345</v>
      </c>
      <c r="C210" s="6" t="s">
        <v>274</v>
      </c>
      <c r="D210" s="6" t="s">
        <v>1333</v>
      </c>
      <c r="E210" s="6" t="s">
        <v>675</v>
      </c>
      <c r="F210" s="7" t="s">
        <v>1346</v>
      </c>
    </row>
    <row r="211" spans="2:7" ht="16" x14ac:dyDescent="0.2">
      <c r="B211" s="3" t="s">
        <v>1347</v>
      </c>
      <c r="C211" s="6" t="s">
        <v>274</v>
      </c>
      <c r="D211" s="6" t="s">
        <v>1333</v>
      </c>
      <c r="E211" s="6" t="s">
        <v>675</v>
      </c>
      <c r="F211" s="7" t="s">
        <v>1348</v>
      </c>
    </row>
    <row r="212" spans="2:7" ht="16" x14ac:dyDescent="0.2">
      <c r="B212" s="3" t="s">
        <v>1349</v>
      </c>
      <c r="C212" s="6" t="s">
        <v>274</v>
      </c>
      <c r="D212" s="6" t="s">
        <v>1333</v>
      </c>
      <c r="E212" s="6" t="s">
        <v>675</v>
      </c>
      <c r="F212" s="7" t="s">
        <v>1350</v>
      </c>
    </row>
    <row r="213" spans="2:7" ht="16" x14ac:dyDescent="0.2">
      <c r="B213" s="3" t="s">
        <v>1351</v>
      </c>
      <c r="C213" s="6" t="s">
        <v>274</v>
      </c>
      <c r="D213" s="6" t="s">
        <v>1333</v>
      </c>
      <c r="E213" s="6" t="s">
        <v>675</v>
      </c>
      <c r="F213" s="7" t="s">
        <v>1352</v>
      </c>
    </row>
    <row r="214" spans="2:7" ht="16" x14ac:dyDescent="0.2">
      <c r="B214" s="3" t="s">
        <v>1353</v>
      </c>
      <c r="C214" s="6" t="s">
        <v>274</v>
      </c>
      <c r="D214" s="6" t="s">
        <v>1333</v>
      </c>
      <c r="E214" s="6" t="s">
        <v>675</v>
      </c>
      <c r="F214" s="7" t="s">
        <v>1354</v>
      </c>
      <c r="G214" s="3" t="s">
        <v>1355</v>
      </c>
    </row>
    <row r="215" spans="2:7" ht="32" x14ac:dyDescent="0.2">
      <c r="B215" s="3" t="s">
        <v>1356</v>
      </c>
      <c r="C215" s="6" t="s">
        <v>274</v>
      </c>
      <c r="E215" s="6" t="s">
        <v>675</v>
      </c>
      <c r="F215" s="7" t="s">
        <v>1357</v>
      </c>
      <c r="G215" s="3" t="s">
        <v>1358</v>
      </c>
    </row>
    <row r="216" spans="2:7" ht="32" x14ac:dyDescent="0.2">
      <c r="B216" s="3" t="s">
        <v>1359</v>
      </c>
      <c r="C216" s="6" t="s">
        <v>274</v>
      </c>
      <c r="E216" s="6" t="s">
        <v>925</v>
      </c>
      <c r="F216" s="7" t="s">
        <v>1360</v>
      </c>
      <c r="G216" s="3" t="s">
        <v>1361</v>
      </c>
    </row>
    <row r="217" spans="2:7" ht="48" x14ac:dyDescent="0.2">
      <c r="B217" s="3" t="s">
        <v>1362</v>
      </c>
      <c r="C217" s="6" t="s">
        <v>274</v>
      </c>
      <c r="E217" s="6" t="s">
        <v>675</v>
      </c>
      <c r="F217" s="7" t="s">
        <v>1363</v>
      </c>
      <c r="G217" s="3" t="s">
        <v>1364</v>
      </c>
    </row>
    <row r="218" spans="2:7" ht="48" x14ac:dyDescent="0.2">
      <c r="B218" s="3" t="s">
        <v>1365</v>
      </c>
      <c r="C218" s="6" t="s">
        <v>274</v>
      </c>
      <c r="E218" s="6" t="s">
        <v>925</v>
      </c>
      <c r="F218" s="7" t="s">
        <v>1366</v>
      </c>
      <c r="G218" s="3" t="s">
        <v>1367</v>
      </c>
    </row>
    <row r="219" spans="2:7" ht="16" x14ac:dyDescent="0.2">
      <c r="B219" s="3" t="s">
        <v>1368</v>
      </c>
      <c r="C219" s="6" t="s">
        <v>274</v>
      </c>
      <c r="E219" s="6" t="s">
        <v>701</v>
      </c>
      <c r="F219" s="7" t="s">
        <v>1369</v>
      </c>
      <c r="G219" s="3" t="s">
        <v>1370</v>
      </c>
    </row>
    <row r="220" spans="2:7" ht="16" x14ac:dyDescent="0.2">
      <c r="B220" s="3" t="s">
        <v>1371</v>
      </c>
      <c r="C220" s="6" t="s">
        <v>274</v>
      </c>
      <c r="E220" s="6" t="s">
        <v>675</v>
      </c>
      <c r="F220" s="7" t="s">
        <v>1372</v>
      </c>
    </row>
    <row r="221" spans="2:7" ht="32" x14ac:dyDescent="0.2">
      <c r="B221" s="3" t="s">
        <v>1373</v>
      </c>
      <c r="C221" s="6" t="s">
        <v>274</v>
      </c>
      <c r="E221" s="6" t="s">
        <v>701</v>
      </c>
      <c r="F221" s="7" t="s">
        <v>1374</v>
      </c>
      <c r="G221" s="3" t="s">
        <v>1375</v>
      </c>
    </row>
    <row r="222" spans="2:7" ht="16" x14ac:dyDescent="0.2">
      <c r="B222" s="3" t="s">
        <v>1376</v>
      </c>
      <c r="C222" s="6" t="s">
        <v>274</v>
      </c>
      <c r="E222" s="6" t="s">
        <v>675</v>
      </c>
      <c r="F222" s="7" t="s">
        <v>1377</v>
      </c>
    </row>
    <row r="223" spans="2:7" ht="32" x14ac:dyDescent="0.2">
      <c r="B223" s="3" t="s">
        <v>1378</v>
      </c>
      <c r="C223" s="6" t="s">
        <v>274</v>
      </c>
      <c r="E223" s="6" t="s">
        <v>701</v>
      </c>
      <c r="F223" s="7" t="s">
        <v>1379</v>
      </c>
      <c r="G223" s="3" t="s">
        <v>1375</v>
      </c>
    </row>
    <row r="224" spans="2:7" ht="32" x14ac:dyDescent="0.2">
      <c r="B224" s="3" t="s">
        <v>1380</v>
      </c>
      <c r="C224" s="6" t="s">
        <v>274</v>
      </c>
      <c r="E224" s="6" t="s">
        <v>675</v>
      </c>
      <c r="F224" s="7" t="s">
        <v>1381</v>
      </c>
    </row>
    <row r="226" spans="1:7" x14ac:dyDescent="0.2">
      <c r="A226" s="6" t="s">
        <v>1382</v>
      </c>
    </row>
    <row r="227" spans="1:7" ht="32" x14ac:dyDescent="0.2">
      <c r="B227" s="3" t="s">
        <v>1383</v>
      </c>
      <c r="C227" s="6" t="s">
        <v>174</v>
      </c>
      <c r="D227" s="6" t="s">
        <v>1384</v>
      </c>
      <c r="E227" s="6" t="s">
        <v>675</v>
      </c>
      <c r="F227" s="7" t="s">
        <v>1385</v>
      </c>
    </row>
    <row r="228" spans="1:7" ht="32" x14ac:dyDescent="0.2">
      <c r="B228" s="3" t="s">
        <v>1386</v>
      </c>
      <c r="C228" s="6" t="s">
        <v>274</v>
      </c>
      <c r="E228" s="6" t="s">
        <v>701</v>
      </c>
      <c r="F228" s="7" t="s">
        <v>1387</v>
      </c>
      <c r="G228" s="3" t="s">
        <v>1388</v>
      </c>
    </row>
    <row r="229" spans="1:7" ht="32" x14ac:dyDescent="0.2">
      <c r="B229" s="3" t="s">
        <v>1389</v>
      </c>
      <c r="C229" s="6" t="s">
        <v>274</v>
      </c>
      <c r="E229" s="6" t="s">
        <v>675</v>
      </c>
      <c r="F229" s="7" t="s">
        <v>1390</v>
      </c>
    </row>
    <row r="230" spans="1:7" ht="32" x14ac:dyDescent="0.2">
      <c r="B230" s="3" t="s">
        <v>1391</v>
      </c>
      <c r="C230" s="6" t="s">
        <v>274</v>
      </c>
      <c r="E230" s="6" t="s">
        <v>701</v>
      </c>
      <c r="F230" s="7" t="s">
        <v>1392</v>
      </c>
      <c r="G230" s="3" t="s">
        <v>1393</v>
      </c>
    </row>
    <row r="231" spans="1:7" ht="32" x14ac:dyDescent="0.2">
      <c r="B231" s="3" t="s">
        <v>1394</v>
      </c>
      <c r="C231" s="6" t="s">
        <v>274</v>
      </c>
      <c r="E231" s="6" t="s">
        <v>675</v>
      </c>
      <c r="F231" s="7" t="s">
        <v>1395</v>
      </c>
    </row>
    <row r="232" spans="1:7" ht="32" x14ac:dyDescent="0.2">
      <c r="B232" s="3" t="s">
        <v>1396</v>
      </c>
      <c r="C232" s="6" t="s">
        <v>274</v>
      </c>
      <c r="E232" s="6" t="s">
        <v>675</v>
      </c>
      <c r="F232" s="7" t="s">
        <v>1397</v>
      </c>
    </row>
    <row r="233" spans="1:7" ht="32" x14ac:dyDescent="0.2">
      <c r="B233" s="3" t="s">
        <v>1398</v>
      </c>
      <c r="C233" s="6" t="s">
        <v>274</v>
      </c>
      <c r="E233" s="6" t="s">
        <v>675</v>
      </c>
      <c r="F233" s="7" t="s">
        <v>1399</v>
      </c>
    </row>
    <row r="234" spans="1:7" ht="16" x14ac:dyDescent="0.2">
      <c r="B234" s="3" t="s">
        <v>1400</v>
      </c>
      <c r="C234" s="6" t="s">
        <v>274</v>
      </c>
      <c r="E234" s="6" t="s">
        <v>675</v>
      </c>
      <c r="F234" s="7" t="s">
        <v>1401</v>
      </c>
    </row>
    <row r="235" spans="1:7" ht="32" x14ac:dyDescent="0.2">
      <c r="B235" s="3" t="s">
        <v>1402</v>
      </c>
      <c r="C235" s="6" t="s">
        <v>274</v>
      </c>
      <c r="E235" s="6" t="s">
        <v>675</v>
      </c>
      <c r="F235" s="7" t="s">
        <v>1403</v>
      </c>
    </row>
    <row r="236" spans="1:7" ht="16" x14ac:dyDescent="0.2">
      <c r="B236" s="3" t="s">
        <v>1404</v>
      </c>
      <c r="C236" s="6" t="s">
        <v>274</v>
      </c>
      <c r="E236" s="6" t="s">
        <v>675</v>
      </c>
      <c r="F236" s="7" t="s">
        <v>1405</v>
      </c>
    </row>
    <row r="237" spans="1:7" ht="32" x14ac:dyDescent="0.2">
      <c r="B237" s="3" t="s">
        <v>1406</v>
      </c>
      <c r="C237" s="6" t="s">
        <v>274</v>
      </c>
      <c r="E237" s="6" t="s">
        <v>675</v>
      </c>
      <c r="F237" s="7" t="s">
        <v>1407</v>
      </c>
    </row>
    <row r="238" spans="1:7" ht="32" x14ac:dyDescent="0.2">
      <c r="B238" s="3" t="s">
        <v>1408</v>
      </c>
      <c r="C238" s="6" t="s">
        <v>274</v>
      </c>
      <c r="E238" s="6" t="s">
        <v>701</v>
      </c>
      <c r="F238" s="7" t="s">
        <v>1409</v>
      </c>
      <c r="G238" s="3" t="s">
        <v>1410</v>
      </c>
    </row>
    <row r="239" spans="1:7" ht="32" x14ac:dyDescent="0.2">
      <c r="B239" s="3" t="s">
        <v>1411</v>
      </c>
      <c r="C239" s="6" t="s">
        <v>274</v>
      </c>
      <c r="E239" s="6" t="s">
        <v>701</v>
      </c>
      <c r="F239" s="7" t="s">
        <v>1412</v>
      </c>
      <c r="G239" s="3" t="s">
        <v>1413</v>
      </c>
    </row>
    <row r="240" spans="1:7" ht="64" x14ac:dyDescent="0.2">
      <c r="B240" s="3" t="s">
        <v>1414</v>
      </c>
      <c r="C240" s="6" t="s">
        <v>274</v>
      </c>
      <c r="E240" s="6" t="s">
        <v>701</v>
      </c>
      <c r="F240" s="7" t="s">
        <v>1415</v>
      </c>
      <c r="G240" s="3" t="s">
        <v>1416</v>
      </c>
    </row>
    <row r="241" spans="2:7" ht="16" x14ac:dyDescent="0.2">
      <c r="B241" s="3" t="s">
        <v>1417</v>
      </c>
      <c r="C241" s="6" t="s">
        <v>274</v>
      </c>
      <c r="E241" s="6" t="s">
        <v>675</v>
      </c>
      <c r="F241" s="7" t="s">
        <v>1418</v>
      </c>
      <c r="G241" s="3" t="s">
        <v>1419</v>
      </c>
    </row>
    <row r="242" spans="2:7" ht="16" x14ac:dyDescent="0.2">
      <c r="B242" s="3" t="s">
        <v>1420</v>
      </c>
      <c r="C242" s="6" t="s">
        <v>274</v>
      </c>
      <c r="E242" s="6" t="s">
        <v>675</v>
      </c>
      <c r="F242" s="7" t="s">
        <v>1421</v>
      </c>
      <c r="G242" s="3" t="s">
        <v>1419</v>
      </c>
    </row>
    <row r="243" spans="2:7" ht="16" x14ac:dyDescent="0.2">
      <c r="B243" s="3" t="s">
        <v>1422</v>
      </c>
      <c r="C243" s="6" t="s">
        <v>274</v>
      </c>
      <c r="E243" s="6" t="s">
        <v>675</v>
      </c>
      <c r="F243" s="7" t="s">
        <v>1423</v>
      </c>
      <c r="G243" s="3" t="s">
        <v>1419</v>
      </c>
    </row>
    <row r="244" spans="2:7" ht="16" x14ac:dyDescent="0.2">
      <c r="B244" s="3" t="s">
        <v>1424</v>
      </c>
      <c r="C244" s="6" t="s">
        <v>274</v>
      </c>
      <c r="E244" s="6" t="s">
        <v>675</v>
      </c>
      <c r="F244" s="7" t="s">
        <v>1425</v>
      </c>
      <c r="G244" s="3" t="s">
        <v>1426</v>
      </c>
    </row>
    <row r="245" spans="2:7" ht="16" x14ac:dyDescent="0.2">
      <c r="B245" s="3" t="s">
        <v>1427</v>
      </c>
      <c r="C245" s="6" t="s">
        <v>274</v>
      </c>
      <c r="E245" s="6" t="s">
        <v>675</v>
      </c>
      <c r="F245" s="7" t="s">
        <v>1428</v>
      </c>
    </row>
    <row r="246" spans="2:7" ht="32" x14ac:dyDescent="0.2">
      <c r="B246" s="3" t="s">
        <v>1429</v>
      </c>
      <c r="C246" s="6" t="s">
        <v>274</v>
      </c>
      <c r="E246" s="6" t="s">
        <v>675</v>
      </c>
      <c r="F246" s="7" t="s">
        <v>1430</v>
      </c>
      <c r="G246" s="3" t="s">
        <v>1431</v>
      </c>
    </row>
    <row r="247" spans="2:7" ht="32" x14ac:dyDescent="0.2">
      <c r="B247" s="3" t="s">
        <v>1432</v>
      </c>
      <c r="C247" s="6" t="s">
        <v>274</v>
      </c>
      <c r="E247" s="6" t="s">
        <v>675</v>
      </c>
      <c r="F247" s="7" t="s">
        <v>1433</v>
      </c>
      <c r="G247" s="3" t="s">
        <v>1434</v>
      </c>
    </row>
    <row r="248" spans="2:7" ht="16" x14ac:dyDescent="0.2">
      <c r="B248" s="3" t="s">
        <v>1435</v>
      </c>
      <c r="C248" s="6" t="s">
        <v>274</v>
      </c>
      <c r="E248" s="6" t="s">
        <v>675</v>
      </c>
      <c r="F248" s="7" t="s">
        <v>1436</v>
      </c>
    </row>
    <row r="249" spans="2:7" ht="32" x14ac:dyDescent="0.2">
      <c r="B249" s="3" t="s">
        <v>1437</v>
      </c>
      <c r="C249" s="6" t="s">
        <v>274</v>
      </c>
      <c r="E249" s="6" t="s">
        <v>925</v>
      </c>
      <c r="F249" s="7" t="s">
        <v>1438</v>
      </c>
      <c r="G249" s="3" t="s">
        <v>1439</v>
      </c>
    </row>
    <row r="250" spans="2:7" ht="16" x14ac:dyDescent="0.2">
      <c r="B250" s="3" t="s">
        <v>1440</v>
      </c>
      <c r="C250" s="6" t="s">
        <v>274</v>
      </c>
      <c r="E250" s="6" t="s">
        <v>675</v>
      </c>
      <c r="F250" s="7" t="s">
        <v>1441</v>
      </c>
    </row>
    <row r="251" spans="2:7" ht="16" x14ac:dyDescent="0.2">
      <c r="B251" s="3" t="s">
        <v>1442</v>
      </c>
      <c r="C251" s="6" t="s">
        <v>274</v>
      </c>
      <c r="E251" s="6" t="s">
        <v>675</v>
      </c>
      <c r="F251" s="7" t="s">
        <v>1443</v>
      </c>
    </row>
    <row r="252" spans="2:7" ht="32" x14ac:dyDescent="0.2">
      <c r="B252" s="3" t="s">
        <v>1444</v>
      </c>
      <c r="C252" s="6" t="s">
        <v>274</v>
      </c>
      <c r="E252" s="6" t="s">
        <v>675</v>
      </c>
      <c r="F252" s="7" t="s">
        <v>1445</v>
      </c>
    </row>
    <row r="253" spans="2:7" ht="16" x14ac:dyDescent="0.2">
      <c r="B253" s="3" t="s">
        <v>1446</v>
      </c>
      <c r="C253" s="6" t="s">
        <v>274</v>
      </c>
      <c r="E253" s="6" t="s">
        <v>675</v>
      </c>
      <c r="F253" s="7" t="s">
        <v>1447</v>
      </c>
      <c r="G253" s="3" t="s">
        <v>1419</v>
      </c>
    </row>
    <row r="254" spans="2:7" ht="16" x14ac:dyDescent="0.2">
      <c r="B254" s="3" t="s">
        <v>1448</v>
      </c>
      <c r="C254" s="6" t="s">
        <v>274</v>
      </c>
      <c r="E254" s="6" t="s">
        <v>675</v>
      </c>
      <c r="F254" s="7" t="s">
        <v>1449</v>
      </c>
      <c r="G254" s="3" t="s">
        <v>1419</v>
      </c>
    </row>
    <row r="255" spans="2:7" ht="32" x14ac:dyDescent="0.2">
      <c r="B255" s="3" t="s">
        <v>1450</v>
      </c>
      <c r="C255" s="6" t="s">
        <v>274</v>
      </c>
      <c r="E255" s="6" t="s">
        <v>701</v>
      </c>
      <c r="F255" s="7" t="s">
        <v>1451</v>
      </c>
      <c r="G255" s="3" t="s">
        <v>1452</v>
      </c>
    </row>
    <row r="256" spans="2:7" ht="32" x14ac:dyDescent="0.2">
      <c r="B256" s="3" t="s">
        <v>1453</v>
      </c>
      <c r="C256" s="6" t="s">
        <v>274</v>
      </c>
      <c r="E256" s="6" t="s">
        <v>675</v>
      </c>
      <c r="F256" s="7" t="s">
        <v>1454</v>
      </c>
      <c r="G256" s="3" t="s">
        <v>1455</v>
      </c>
    </row>
    <row r="257" spans="2:7" ht="16" x14ac:dyDescent="0.2">
      <c r="B257" s="3" t="s">
        <v>1456</v>
      </c>
      <c r="C257" s="6" t="s">
        <v>274</v>
      </c>
      <c r="E257" s="6" t="s">
        <v>675</v>
      </c>
      <c r="F257" s="7" t="s">
        <v>1457</v>
      </c>
    </row>
    <row r="258" spans="2:7" ht="16" x14ac:dyDescent="0.2">
      <c r="B258" s="3" t="s">
        <v>1458</v>
      </c>
      <c r="C258" s="6" t="s">
        <v>274</v>
      </c>
      <c r="E258" s="6" t="s">
        <v>701</v>
      </c>
      <c r="F258" s="7" t="s">
        <v>1459</v>
      </c>
    </row>
    <row r="259" spans="2:7" ht="16" x14ac:dyDescent="0.2">
      <c r="B259" s="3" t="s">
        <v>1460</v>
      </c>
      <c r="C259" s="6" t="s">
        <v>274</v>
      </c>
      <c r="E259" s="6" t="s">
        <v>675</v>
      </c>
      <c r="F259" s="7" t="s">
        <v>1461</v>
      </c>
    </row>
    <row r="260" spans="2:7" ht="16" x14ac:dyDescent="0.2">
      <c r="B260" s="3" t="s">
        <v>1462</v>
      </c>
      <c r="C260" s="6" t="s">
        <v>174</v>
      </c>
      <c r="E260" s="6" t="s">
        <v>675</v>
      </c>
      <c r="F260" s="7" t="s">
        <v>1463</v>
      </c>
    </row>
    <row r="261" spans="2:7" ht="16" x14ac:dyDescent="0.2">
      <c r="B261" s="3" t="s">
        <v>1464</v>
      </c>
      <c r="C261" s="6" t="s">
        <v>174</v>
      </c>
      <c r="E261" s="6" t="s">
        <v>675</v>
      </c>
      <c r="F261" s="7" t="s">
        <v>1465</v>
      </c>
      <c r="G261" s="3" t="s">
        <v>1466</v>
      </c>
    </row>
    <row r="262" spans="2:7" ht="16" x14ac:dyDescent="0.2">
      <c r="B262" s="3" t="s">
        <v>1467</v>
      </c>
      <c r="C262" s="6" t="s">
        <v>274</v>
      </c>
      <c r="D262" s="6" t="s">
        <v>1333</v>
      </c>
      <c r="E262" s="6" t="s">
        <v>675</v>
      </c>
      <c r="F262" s="7" t="s">
        <v>1468</v>
      </c>
    </row>
    <row r="263" spans="2:7" ht="16" x14ac:dyDescent="0.2">
      <c r="B263" s="3" t="s">
        <v>1469</v>
      </c>
      <c r="C263" s="6" t="s">
        <v>274</v>
      </c>
      <c r="D263" s="6" t="s">
        <v>1333</v>
      </c>
      <c r="E263" s="6" t="s">
        <v>675</v>
      </c>
      <c r="F263" s="7" t="s">
        <v>1470</v>
      </c>
    </row>
    <row r="264" spans="2:7" ht="16" x14ac:dyDescent="0.2">
      <c r="B264" s="3" t="s">
        <v>1471</v>
      </c>
      <c r="C264" s="6" t="s">
        <v>274</v>
      </c>
      <c r="D264" s="6" t="s">
        <v>1333</v>
      </c>
      <c r="E264" s="6" t="s">
        <v>675</v>
      </c>
      <c r="F264" s="7" t="s">
        <v>1472</v>
      </c>
    </row>
    <row r="265" spans="2:7" ht="16" x14ac:dyDescent="0.2">
      <c r="B265" s="3" t="s">
        <v>1473</v>
      </c>
      <c r="C265" s="6" t="s">
        <v>274</v>
      </c>
      <c r="D265" s="6" t="s">
        <v>1333</v>
      </c>
      <c r="E265" s="6" t="s">
        <v>675</v>
      </c>
      <c r="F265" s="7" t="s">
        <v>1474</v>
      </c>
    </row>
    <row r="266" spans="2:7" ht="16" x14ac:dyDescent="0.2">
      <c r="B266" s="3" t="s">
        <v>1475</v>
      </c>
      <c r="C266" s="6" t="s">
        <v>274</v>
      </c>
      <c r="D266" s="6" t="s">
        <v>1333</v>
      </c>
      <c r="E266" s="6" t="s">
        <v>675</v>
      </c>
      <c r="F266" s="7" t="s">
        <v>1476</v>
      </c>
    </row>
    <row r="267" spans="2:7" ht="16" x14ac:dyDescent="0.2">
      <c r="B267" s="3" t="s">
        <v>1477</v>
      </c>
      <c r="C267" s="6" t="s">
        <v>274</v>
      </c>
      <c r="D267" s="6" t="s">
        <v>1333</v>
      </c>
      <c r="E267" s="6" t="s">
        <v>1478</v>
      </c>
      <c r="F267" s="7" t="s">
        <v>1479</v>
      </c>
    </row>
    <row r="268" spans="2:7" ht="16" x14ac:dyDescent="0.2">
      <c r="B268" s="3" t="s">
        <v>1480</v>
      </c>
      <c r="C268" s="6" t="s">
        <v>274</v>
      </c>
      <c r="D268" s="6" t="s">
        <v>1333</v>
      </c>
      <c r="E268" s="6" t="s">
        <v>675</v>
      </c>
      <c r="F268" s="7" t="s">
        <v>1481</v>
      </c>
    </row>
    <row r="269" spans="2:7" ht="16" x14ac:dyDescent="0.2">
      <c r="B269" s="3" t="s">
        <v>1482</v>
      </c>
      <c r="C269" s="6" t="s">
        <v>274</v>
      </c>
      <c r="D269" s="6" t="s">
        <v>1333</v>
      </c>
      <c r="E269" s="6" t="s">
        <v>675</v>
      </c>
      <c r="F269" s="7" t="s">
        <v>1483</v>
      </c>
    </row>
    <row r="270" spans="2:7" ht="16" x14ac:dyDescent="0.2">
      <c r="B270" s="3" t="s">
        <v>1484</v>
      </c>
      <c r="C270" s="6" t="s">
        <v>274</v>
      </c>
      <c r="D270" s="6" t="s">
        <v>1333</v>
      </c>
      <c r="E270" s="6" t="s">
        <v>675</v>
      </c>
      <c r="F270" s="7" t="s">
        <v>1485</v>
      </c>
    </row>
    <row r="271" spans="2:7" ht="16" x14ac:dyDescent="0.2">
      <c r="B271" s="3" t="s">
        <v>1486</v>
      </c>
      <c r="C271" s="6" t="s">
        <v>274</v>
      </c>
      <c r="D271" s="6" t="s">
        <v>1333</v>
      </c>
      <c r="E271" s="6" t="s">
        <v>675</v>
      </c>
      <c r="F271" s="7" t="s">
        <v>1487</v>
      </c>
    </row>
    <row r="272" spans="2:7" ht="16" x14ac:dyDescent="0.2">
      <c r="B272" s="3" t="s">
        <v>1488</v>
      </c>
      <c r="C272" s="6" t="s">
        <v>274</v>
      </c>
      <c r="D272" s="6" t="s">
        <v>1333</v>
      </c>
      <c r="E272" s="6" t="s">
        <v>675</v>
      </c>
      <c r="F272" s="7" t="s">
        <v>1489</v>
      </c>
    </row>
    <row r="273" spans="1:7" ht="16" x14ac:dyDescent="0.2">
      <c r="B273" s="3" t="s">
        <v>1490</v>
      </c>
      <c r="C273" s="6" t="s">
        <v>274</v>
      </c>
      <c r="D273" s="6" t="s">
        <v>1333</v>
      </c>
      <c r="E273" s="6" t="s">
        <v>675</v>
      </c>
      <c r="F273" s="7" t="s">
        <v>1491</v>
      </c>
    </row>
    <row r="274" spans="1:7" ht="16" x14ac:dyDescent="0.2">
      <c r="B274" s="3" t="s">
        <v>1492</v>
      </c>
      <c r="C274" s="6" t="s">
        <v>274</v>
      </c>
      <c r="D274" s="6" t="s">
        <v>1333</v>
      </c>
      <c r="E274" s="6" t="s">
        <v>675</v>
      </c>
      <c r="F274" s="7" t="s">
        <v>1493</v>
      </c>
    </row>
    <row r="275" spans="1:7" ht="16" x14ac:dyDescent="0.2">
      <c r="B275" s="3" t="s">
        <v>1494</v>
      </c>
      <c r="C275" s="6" t="s">
        <v>274</v>
      </c>
      <c r="D275" s="6" t="s">
        <v>1333</v>
      </c>
      <c r="E275" s="6" t="s">
        <v>675</v>
      </c>
      <c r="F275" s="7" t="s">
        <v>1495</v>
      </c>
    </row>
    <row r="276" spans="1:7" ht="16" x14ac:dyDescent="0.2">
      <c r="B276" s="3" t="s">
        <v>1496</v>
      </c>
      <c r="C276" s="6" t="s">
        <v>274</v>
      </c>
      <c r="D276" s="6" t="s">
        <v>1333</v>
      </c>
      <c r="E276" s="6" t="s">
        <v>675</v>
      </c>
      <c r="F276" s="7" t="s">
        <v>1497</v>
      </c>
    </row>
    <row r="277" spans="1:7" ht="16" x14ac:dyDescent="0.2">
      <c r="B277" s="3" t="s">
        <v>1498</v>
      </c>
      <c r="C277" s="6" t="s">
        <v>274</v>
      </c>
      <c r="D277" s="6" t="s">
        <v>1333</v>
      </c>
      <c r="E277" s="6" t="s">
        <v>675</v>
      </c>
      <c r="F277" s="7" t="s">
        <v>1499</v>
      </c>
    </row>
    <row r="278" spans="1:7" ht="16" x14ac:dyDescent="0.2">
      <c r="B278" s="3" t="s">
        <v>1500</v>
      </c>
      <c r="C278" s="6" t="s">
        <v>274</v>
      </c>
      <c r="D278" s="6" t="s">
        <v>1333</v>
      </c>
      <c r="E278" s="6" t="s">
        <v>675</v>
      </c>
      <c r="F278" s="7" t="s">
        <v>1501</v>
      </c>
    </row>
    <row r="280" spans="1:7" x14ac:dyDescent="0.2">
      <c r="A280" s="6" t="s">
        <v>1502</v>
      </c>
    </row>
    <row r="281" spans="1:7" ht="32" x14ac:dyDescent="0.2">
      <c r="B281" s="3" t="s">
        <v>1503</v>
      </c>
      <c r="C281" s="6" t="s">
        <v>274</v>
      </c>
      <c r="E281" s="6" t="s">
        <v>701</v>
      </c>
      <c r="F281" s="7" t="s">
        <v>1504</v>
      </c>
    </row>
    <row r="282" spans="1:7" ht="32" x14ac:dyDescent="0.2">
      <c r="B282" s="3" t="s">
        <v>1505</v>
      </c>
      <c r="C282" s="6" t="s">
        <v>274</v>
      </c>
      <c r="E282" s="6" t="s">
        <v>675</v>
      </c>
      <c r="F282" s="7" t="s">
        <v>1506</v>
      </c>
    </row>
    <row r="283" spans="1:7" ht="32" x14ac:dyDescent="0.2">
      <c r="B283" s="3" t="s">
        <v>1507</v>
      </c>
      <c r="C283" s="6" t="s">
        <v>274</v>
      </c>
      <c r="E283" s="6" t="s">
        <v>701</v>
      </c>
      <c r="F283" s="7" t="s">
        <v>1508</v>
      </c>
    </row>
    <row r="284" spans="1:7" ht="16" x14ac:dyDescent="0.2">
      <c r="B284" s="3" t="s">
        <v>1509</v>
      </c>
      <c r="C284" s="6" t="s">
        <v>274</v>
      </c>
      <c r="E284" s="6" t="s">
        <v>675</v>
      </c>
      <c r="F284" s="7" t="s">
        <v>1510</v>
      </c>
    </row>
    <row r="285" spans="1:7" ht="32" x14ac:dyDescent="0.2">
      <c r="B285" s="3" t="s">
        <v>1511</v>
      </c>
      <c r="C285" s="6" t="s">
        <v>274</v>
      </c>
      <c r="E285" s="6" t="s">
        <v>701</v>
      </c>
      <c r="F285" s="7" t="s">
        <v>1512</v>
      </c>
      <c r="G285" s="3" t="s">
        <v>1513</v>
      </c>
    </row>
    <row r="286" spans="1:7" ht="32" x14ac:dyDescent="0.2">
      <c r="B286" s="3" t="s">
        <v>1514</v>
      </c>
      <c r="C286" s="6" t="s">
        <v>274</v>
      </c>
      <c r="E286" s="6" t="s">
        <v>701</v>
      </c>
      <c r="F286" s="7" t="s">
        <v>1515</v>
      </c>
      <c r="G286" s="3" t="s">
        <v>1516</v>
      </c>
    </row>
    <row r="287" spans="1:7" ht="32" x14ac:dyDescent="0.2">
      <c r="B287" s="3" t="s">
        <v>1517</v>
      </c>
      <c r="C287" s="6" t="s">
        <v>274</v>
      </c>
      <c r="E287" s="6" t="s">
        <v>701</v>
      </c>
      <c r="F287" s="7" t="s">
        <v>1518</v>
      </c>
      <c r="G287" s="3" t="s">
        <v>1519</v>
      </c>
    </row>
    <row r="288" spans="1:7" ht="32" x14ac:dyDescent="0.2">
      <c r="B288" s="3" t="s">
        <v>1520</v>
      </c>
      <c r="C288" s="6" t="s">
        <v>274</v>
      </c>
      <c r="E288" s="6" t="s">
        <v>701</v>
      </c>
      <c r="F288" s="7" t="s">
        <v>1521</v>
      </c>
      <c r="G288" s="3" t="s">
        <v>1522</v>
      </c>
    </row>
    <row r="289" spans="2:7" ht="16" x14ac:dyDescent="0.2">
      <c r="B289" s="3" t="s">
        <v>1523</v>
      </c>
      <c r="C289" s="6" t="s">
        <v>274</v>
      </c>
      <c r="E289" s="6" t="s">
        <v>675</v>
      </c>
      <c r="F289" s="7" t="s">
        <v>1524</v>
      </c>
    </row>
    <row r="290" spans="2:7" ht="16" x14ac:dyDescent="0.2">
      <c r="B290" s="3" t="s">
        <v>1525</v>
      </c>
      <c r="C290" s="6" t="s">
        <v>1526</v>
      </c>
      <c r="E290" s="6" t="s">
        <v>675</v>
      </c>
      <c r="F290" s="7" t="s">
        <v>1527</v>
      </c>
      <c r="G290" s="3" t="s">
        <v>1528</v>
      </c>
    </row>
    <row r="291" spans="2:7" ht="16" x14ac:dyDescent="0.2">
      <c r="B291" s="3" t="s">
        <v>1529</v>
      </c>
      <c r="C291" s="6" t="s">
        <v>274</v>
      </c>
      <c r="E291" s="6" t="s">
        <v>1115</v>
      </c>
      <c r="F291" s="7" t="s">
        <v>1530</v>
      </c>
    </row>
    <row r="292" spans="2:7" ht="32" x14ac:dyDescent="0.2">
      <c r="B292" s="3" t="s">
        <v>1531</v>
      </c>
      <c r="C292" s="6" t="s">
        <v>274</v>
      </c>
      <c r="E292" s="6" t="s">
        <v>675</v>
      </c>
      <c r="F292" s="7" t="s">
        <v>1532</v>
      </c>
    </row>
    <row r="293" spans="2:7" ht="32" x14ac:dyDescent="0.2">
      <c r="B293" s="3" t="s">
        <v>1533</v>
      </c>
      <c r="C293" s="6" t="s">
        <v>274</v>
      </c>
      <c r="E293" s="6" t="s">
        <v>701</v>
      </c>
      <c r="F293" s="7" t="s">
        <v>1534</v>
      </c>
    </row>
    <row r="294" spans="2:7" ht="16" x14ac:dyDescent="0.2">
      <c r="B294" s="3" t="s">
        <v>1535</v>
      </c>
      <c r="C294" s="6" t="s">
        <v>274</v>
      </c>
      <c r="E294" s="6" t="s">
        <v>701</v>
      </c>
      <c r="F294" s="7" t="s">
        <v>1536</v>
      </c>
      <c r="G294" s="3" t="s">
        <v>1537</v>
      </c>
    </row>
    <row r="295" spans="2:7" ht="16" x14ac:dyDescent="0.2">
      <c r="B295" s="3" t="s">
        <v>1538</v>
      </c>
      <c r="C295" s="6" t="s">
        <v>274</v>
      </c>
      <c r="E295" s="6" t="s">
        <v>701</v>
      </c>
      <c r="F295" s="7" t="s">
        <v>1539</v>
      </c>
      <c r="G295" s="3" t="s">
        <v>1540</v>
      </c>
    </row>
    <row r="296" spans="2:7" ht="32" x14ac:dyDescent="0.2">
      <c r="B296" s="3" t="s">
        <v>1541</v>
      </c>
      <c r="C296" s="6" t="s">
        <v>274</v>
      </c>
      <c r="E296" s="6" t="s">
        <v>701</v>
      </c>
      <c r="F296" s="7" t="s">
        <v>1542</v>
      </c>
      <c r="G296" s="3" t="s">
        <v>1543</v>
      </c>
    </row>
    <row r="297" spans="2:7" ht="32" x14ac:dyDescent="0.2">
      <c r="B297" s="3" t="s">
        <v>1544</v>
      </c>
      <c r="C297" s="6" t="s">
        <v>274</v>
      </c>
      <c r="E297" s="6" t="s">
        <v>701</v>
      </c>
      <c r="F297" s="7" t="s">
        <v>1545</v>
      </c>
      <c r="G297" s="3" t="s">
        <v>1543</v>
      </c>
    </row>
    <row r="298" spans="2:7" ht="32" x14ac:dyDescent="0.2">
      <c r="B298" s="3" t="s">
        <v>1546</v>
      </c>
      <c r="C298" s="6" t="s">
        <v>274</v>
      </c>
      <c r="E298" s="6" t="s">
        <v>675</v>
      </c>
      <c r="F298" s="7" t="s">
        <v>1547</v>
      </c>
    </row>
    <row r="299" spans="2:7" ht="32" x14ac:dyDescent="0.2">
      <c r="B299" s="3" t="s">
        <v>1548</v>
      </c>
      <c r="C299" s="6" t="s">
        <v>274</v>
      </c>
      <c r="E299" s="6" t="s">
        <v>675</v>
      </c>
      <c r="F299" s="7" t="s">
        <v>1547</v>
      </c>
    </row>
    <row r="300" spans="2:7" ht="16" x14ac:dyDescent="0.2">
      <c r="B300" s="3" t="s">
        <v>1549</v>
      </c>
      <c r="C300" s="6" t="s">
        <v>274</v>
      </c>
      <c r="E300" s="6" t="s">
        <v>675</v>
      </c>
      <c r="F300" s="7" t="s">
        <v>1550</v>
      </c>
    </row>
    <row r="301" spans="2:7" ht="16" x14ac:dyDescent="0.2">
      <c r="B301" s="3" t="s">
        <v>1551</v>
      </c>
      <c r="C301" s="6" t="s">
        <v>274</v>
      </c>
      <c r="E301" s="6" t="s">
        <v>701</v>
      </c>
      <c r="F301" s="7" t="s">
        <v>1552</v>
      </c>
    </row>
    <row r="302" spans="2:7" ht="32" x14ac:dyDescent="0.2">
      <c r="B302" s="3" t="s">
        <v>1553</v>
      </c>
      <c r="C302" s="6" t="s">
        <v>274</v>
      </c>
      <c r="E302" s="6" t="s">
        <v>675</v>
      </c>
      <c r="F302" s="7" t="s">
        <v>1554</v>
      </c>
      <c r="G302" s="3" t="s">
        <v>1555</v>
      </c>
    </row>
    <row r="303" spans="2:7" ht="32" x14ac:dyDescent="0.2">
      <c r="B303" s="3" t="s">
        <v>1556</v>
      </c>
      <c r="C303" s="6" t="s">
        <v>274</v>
      </c>
      <c r="E303" s="6" t="s">
        <v>701</v>
      </c>
      <c r="F303" s="7" t="s">
        <v>1557</v>
      </c>
    </row>
    <row r="304" spans="2:7" ht="32" x14ac:dyDescent="0.2">
      <c r="B304" s="3" t="s">
        <v>1558</v>
      </c>
      <c r="C304" s="6" t="s">
        <v>274</v>
      </c>
      <c r="E304" s="6" t="s">
        <v>701</v>
      </c>
      <c r="F304" s="7" t="s">
        <v>1559</v>
      </c>
      <c r="G304" s="3" t="s">
        <v>1560</v>
      </c>
    </row>
    <row r="305" spans="1:7" ht="16" x14ac:dyDescent="0.2">
      <c r="B305" s="3" t="s">
        <v>1561</v>
      </c>
      <c r="C305" s="6" t="s">
        <v>174</v>
      </c>
      <c r="D305" s="6" t="s">
        <v>674</v>
      </c>
      <c r="E305" s="6" t="s">
        <v>675</v>
      </c>
      <c r="F305" s="7" t="s">
        <v>1562</v>
      </c>
      <c r="G305" s="3" t="s">
        <v>1563</v>
      </c>
    </row>
    <row r="307" spans="1:7" ht="48" x14ac:dyDescent="0.2">
      <c r="A307" s="6" t="s">
        <v>1564</v>
      </c>
      <c r="D307" s="3"/>
      <c r="E307" s="3"/>
      <c r="G307" s="3" t="s">
        <v>1565</v>
      </c>
    </row>
    <row r="308" spans="1:7" ht="32" x14ac:dyDescent="0.2">
      <c r="B308" s="3" t="s">
        <v>1566</v>
      </c>
      <c r="C308" s="6" t="s">
        <v>274</v>
      </c>
      <c r="D308" s="3"/>
      <c r="E308" s="3" t="s">
        <v>701</v>
      </c>
      <c r="F308" s="7" t="s">
        <v>1567</v>
      </c>
    </row>
    <row r="309" spans="1:7" ht="32" x14ac:dyDescent="0.2">
      <c r="B309" s="3" t="s">
        <v>1568</v>
      </c>
      <c r="C309" s="6" t="s">
        <v>274</v>
      </c>
      <c r="D309" s="3"/>
      <c r="E309" s="3" t="s">
        <v>675</v>
      </c>
      <c r="F309" s="7" t="s">
        <v>1569</v>
      </c>
    </row>
    <row r="310" spans="1:7" ht="32" x14ac:dyDescent="0.2">
      <c r="B310" s="3" t="s">
        <v>1570</v>
      </c>
      <c r="C310" s="6" t="s">
        <v>274</v>
      </c>
      <c r="D310" s="3"/>
      <c r="E310" s="3" t="s">
        <v>701</v>
      </c>
      <c r="F310" s="7" t="s">
        <v>1571</v>
      </c>
    </row>
    <row r="311" spans="1:7" ht="32" x14ac:dyDescent="0.2">
      <c r="B311" s="3" t="s">
        <v>1572</v>
      </c>
      <c r="C311" s="6" t="s">
        <v>274</v>
      </c>
      <c r="D311" s="3"/>
      <c r="E311" s="3" t="s">
        <v>675</v>
      </c>
      <c r="F311" s="7" t="s">
        <v>1573</v>
      </c>
    </row>
    <row r="312" spans="1:7" ht="32" x14ac:dyDescent="0.2">
      <c r="B312" s="3" t="s">
        <v>1574</v>
      </c>
      <c r="C312" s="6" t="s">
        <v>274</v>
      </c>
      <c r="D312" s="3"/>
      <c r="E312" s="3" t="s">
        <v>701</v>
      </c>
      <c r="F312" s="7" t="s">
        <v>1575</v>
      </c>
    </row>
    <row r="313" spans="1:7" ht="32" x14ac:dyDescent="0.2">
      <c r="B313" s="3" t="s">
        <v>1576</v>
      </c>
      <c r="C313" s="6" t="s">
        <v>274</v>
      </c>
      <c r="E313" s="3" t="s">
        <v>675</v>
      </c>
      <c r="F313" s="7" t="s">
        <v>1577</v>
      </c>
    </row>
    <row r="314" spans="1:7" ht="32" x14ac:dyDescent="0.2">
      <c r="B314" s="3" t="s">
        <v>1578</v>
      </c>
      <c r="C314" s="6" t="s">
        <v>274</v>
      </c>
      <c r="E314" s="3" t="s">
        <v>701</v>
      </c>
      <c r="F314" s="7" t="s">
        <v>1579</v>
      </c>
    </row>
    <row r="315" spans="1:7" ht="32" x14ac:dyDescent="0.2">
      <c r="B315" s="3" t="s">
        <v>1580</v>
      </c>
      <c r="C315" s="6" t="s">
        <v>274</v>
      </c>
      <c r="E315" s="3" t="s">
        <v>675</v>
      </c>
      <c r="F315" s="7" t="s">
        <v>1581</v>
      </c>
    </row>
    <row r="316" spans="1:7" ht="32" x14ac:dyDescent="0.2">
      <c r="B316" s="3" t="s">
        <v>1582</v>
      </c>
      <c r="C316" s="6" t="s">
        <v>274</v>
      </c>
      <c r="D316" s="3"/>
      <c r="E316" s="3" t="s">
        <v>701</v>
      </c>
      <c r="F316" s="7" t="s">
        <v>1583</v>
      </c>
    </row>
    <row r="317" spans="1:7" ht="48" x14ac:dyDescent="0.2">
      <c r="B317" s="3" t="s">
        <v>1584</v>
      </c>
      <c r="C317" s="6" t="s">
        <v>274</v>
      </c>
      <c r="D317" s="3"/>
      <c r="E317" s="3" t="s">
        <v>675</v>
      </c>
      <c r="F317" s="7" t="s">
        <v>1585</v>
      </c>
    </row>
    <row r="318" spans="1:7" ht="32" x14ac:dyDescent="0.2">
      <c r="B318" s="3" t="s">
        <v>1586</v>
      </c>
      <c r="C318" s="6" t="s">
        <v>274</v>
      </c>
      <c r="D318" s="3"/>
      <c r="E318" s="3" t="s">
        <v>701</v>
      </c>
      <c r="F318" s="7" t="s">
        <v>1587</v>
      </c>
    </row>
    <row r="319" spans="1:7" ht="32" x14ac:dyDescent="0.2">
      <c r="B319" s="3" t="s">
        <v>1588</v>
      </c>
      <c r="C319" s="6" t="s">
        <v>274</v>
      </c>
      <c r="D319" s="3"/>
      <c r="E319" s="3" t="s">
        <v>675</v>
      </c>
      <c r="F319" s="7" t="s">
        <v>1589</v>
      </c>
    </row>
    <row r="320" spans="1:7" s="6" customFormat="1" ht="32" x14ac:dyDescent="0.2">
      <c r="B320" s="3" t="s">
        <v>1590</v>
      </c>
      <c r="C320" s="6" t="s">
        <v>274</v>
      </c>
      <c r="D320" s="3"/>
      <c r="E320" s="3" t="s">
        <v>701</v>
      </c>
      <c r="F320" s="7" t="s">
        <v>1591</v>
      </c>
    </row>
    <row r="321" spans="2:7" s="6" customFormat="1" ht="32" x14ac:dyDescent="0.2">
      <c r="B321" s="3" t="s">
        <v>1592</v>
      </c>
      <c r="C321" s="6" t="s">
        <v>274</v>
      </c>
      <c r="D321" s="3"/>
      <c r="E321" s="3" t="s">
        <v>675</v>
      </c>
      <c r="F321" s="7" t="s">
        <v>1593</v>
      </c>
    </row>
    <row r="322" spans="2:7" s="6" customFormat="1" ht="32" x14ac:dyDescent="0.2">
      <c r="B322" s="3" t="s">
        <v>1594</v>
      </c>
      <c r="C322" s="6" t="s">
        <v>274</v>
      </c>
      <c r="D322" s="3"/>
      <c r="E322" s="3" t="s">
        <v>701</v>
      </c>
      <c r="F322" s="7" t="s">
        <v>1595</v>
      </c>
    </row>
    <row r="323" spans="2:7" s="6" customFormat="1" ht="48" x14ac:dyDescent="0.2">
      <c r="B323" s="3" t="s">
        <v>1596</v>
      </c>
      <c r="C323" s="6" t="s">
        <v>274</v>
      </c>
      <c r="D323" s="3"/>
      <c r="E323" s="3" t="s">
        <v>675</v>
      </c>
      <c r="F323" s="7" t="s">
        <v>1597</v>
      </c>
    </row>
    <row r="324" spans="2:7" s="6" customFormat="1" ht="32" x14ac:dyDescent="0.2">
      <c r="B324" s="3" t="s">
        <v>1598</v>
      </c>
      <c r="C324" s="6" t="s">
        <v>274</v>
      </c>
      <c r="D324" s="3"/>
      <c r="E324" s="3" t="s">
        <v>701</v>
      </c>
      <c r="F324" s="7" t="s">
        <v>1599</v>
      </c>
    </row>
    <row r="325" spans="2:7" s="6" customFormat="1" ht="32" x14ac:dyDescent="0.2">
      <c r="B325" s="3" t="s">
        <v>1600</v>
      </c>
      <c r="C325" s="6" t="s">
        <v>274</v>
      </c>
      <c r="D325" s="3"/>
      <c r="E325" s="3" t="s">
        <v>675</v>
      </c>
      <c r="F325" s="7" t="s">
        <v>1601</v>
      </c>
    </row>
    <row r="326" spans="2:7" s="6" customFormat="1" ht="32" x14ac:dyDescent="0.2">
      <c r="B326" s="3" t="s">
        <v>1602</v>
      </c>
      <c r="C326" s="6" t="s">
        <v>274</v>
      </c>
      <c r="D326" s="3"/>
      <c r="E326" s="3" t="s">
        <v>701</v>
      </c>
      <c r="F326" s="7" t="s">
        <v>1603</v>
      </c>
    </row>
    <row r="327" spans="2:7" s="6" customFormat="1" ht="32" x14ac:dyDescent="0.2">
      <c r="B327" s="3" t="s">
        <v>1604</v>
      </c>
      <c r="C327" s="6" t="s">
        <v>274</v>
      </c>
      <c r="D327" s="3"/>
      <c r="E327" s="3" t="s">
        <v>675</v>
      </c>
      <c r="F327" s="7" t="s">
        <v>1605</v>
      </c>
    </row>
    <row r="328" spans="2:7" s="6" customFormat="1" ht="48" x14ac:dyDescent="0.2">
      <c r="B328" s="3" t="s">
        <v>1606</v>
      </c>
      <c r="C328" s="6" t="s">
        <v>274</v>
      </c>
      <c r="D328" s="3"/>
      <c r="E328" s="3" t="s">
        <v>701</v>
      </c>
      <c r="F328" s="7" t="s">
        <v>1607</v>
      </c>
    </row>
    <row r="329" spans="2:7" s="6" customFormat="1" ht="32" x14ac:dyDescent="0.2">
      <c r="B329" s="3" t="s">
        <v>1608</v>
      </c>
      <c r="C329" s="6" t="s">
        <v>274</v>
      </c>
      <c r="D329" s="3"/>
      <c r="E329" s="3" t="s">
        <v>675</v>
      </c>
      <c r="F329" s="7" t="s">
        <v>1609</v>
      </c>
    </row>
    <row r="330" spans="2:7" x14ac:dyDescent="0.2">
      <c r="D330" s="3"/>
      <c r="E330" s="3"/>
      <c r="G330" s="6"/>
    </row>
    <row r="331" spans="2:7" s="6" customFormat="1" ht="32" x14ac:dyDescent="0.2">
      <c r="B331" s="3" t="s">
        <v>1610</v>
      </c>
      <c r="C331" s="6" t="s">
        <v>274</v>
      </c>
      <c r="E331" s="3" t="s">
        <v>701</v>
      </c>
      <c r="F331" s="7" t="s">
        <v>1611</v>
      </c>
    </row>
    <row r="332" spans="2:7" s="6" customFormat="1" ht="32" x14ac:dyDescent="0.2">
      <c r="B332" s="3" t="s">
        <v>1612</v>
      </c>
      <c r="C332" s="6" t="s">
        <v>274</v>
      </c>
      <c r="E332" s="3" t="s">
        <v>675</v>
      </c>
      <c r="F332" s="7" t="s">
        <v>1613</v>
      </c>
    </row>
    <row r="333" spans="2:7" s="6" customFormat="1" ht="32" x14ac:dyDescent="0.2">
      <c r="B333" s="3" t="s">
        <v>1614</v>
      </c>
      <c r="C333" s="6" t="s">
        <v>274</v>
      </c>
      <c r="E333" s="3" t="s">
        <v>701</v>
      </c>
      <c r="F333" s="7" t="s">
        <v>1615</v>
      </c>
    </row>
    <row r="334" spans="2:7" s="6" customFormat="1" ht="32" x14ac:dyDescent="0.2">
      <c r="B334" s="3" t="s">
        <v>1616</v>
      </c>
      <c r="C334" s="6" t="s">
        <v>274</v>
      </c>
      <c r="E334" s="3" t="s">
        <v>675</v>
      </c>
      <c r="F334" s="7" t="s">
        <v>1617</v>
      </c>
    </row>
    <row r="335" spans="2:7" s="6" customFormat="1" ht="32" x14ac:dyDescent="0.2">
      <c r="B335" s="3" t="s">
        <v>1618</v>
      </c>
      <c r="C335" s="6" t="s">
        <v>274</v>
      </c>
      <c r="E335" s="3" t="s">
        <v>701</v>
      </c>
      <c r="F335" s="7" t="s">
        <v>1619</v>
      </c>
    </row>
    <row r="336" spans="2:7" ht="32" x14ac:dyDescent="0.2">
      <c r="B336" s="3" t="s">
        <v>1620</v>
      </c>
      <c r="C336" s="6" t="s">
        <v>274</v>
      </c>
      <c r="E336" s="3" t="s">
        <v>675</v>
      </c>
      <c r="F336" s="7" t="s">
        <v>1621</v>
      </c>
    </row>
    <row r="337" spans="2:6" ht="32" x14ac:dyDescent="0.2">
      <c r="B337" s="3" t="s">
        <v>1622</v>
      </c>
      <c r="C337" s="6" t="s">
        <v>274</v>
      </c>
      <c r="E337" s="3" t="s">
        <v>701</v>
      </c>
      <c r="F337" s="7" t="s">
        <v>1623</v>
      </c>
    </row>
    <row r="338" spans="2:6" ht="32" x14ac:dyDescent="0.2">
      <c r="B338" s="3" t="s">
        <v>1624</v>
      </c>
      <c r="C338" s="6" t="s">
        <v>274</v>
      </c>
      <c r="E338" s="3" t="s">
        <v>675</v>
      </c>
      <c r="F338" s="7" t="s">
        <v>1625</v>
      </c>
    </row>
    <row r="339" spans="2:6" ht="32" x14ac:dyDescent="0.2">
      <c r="B339" s="3" t="s">
        <v>1626</v>
      </c>
      <c r="C339" s="6" t="s">
        <v>274</v>
      </c>
      <c r="E339" s="3" t="s">
        <v>701</v>
      </c>
      <c r="F339" s="7" t="s">
        <v>1627</v>
      </c>
    </row>
    <row r="340" spans="2:6" ht="48" x14ac:dyDescent="0.2">
      <c r="B340" s="3" t="s">
        <v>1628</v>
      </c>
      <c r="C340" s="6" t="s">
        <v>274</v>
      </c>
      <c r="E340" s="3" t="s">
        <v>675</v>
      </c>
      <c r="F340" s="7" t="s">
        <v>1629</v>
      </c>
    </row>
    <row r="341" spans="2:6" ht="32" x14ac:dyDescent="0.2">
      <c r="B341" s="3" t="s">
        <v>1630</v>
      </c>
      <c r="C341" s="6" t="s">
        <v>274</v>
      </c>
      <c r="E341" s="3" t="s">
        <v>701</v>
      </c>
      <c r="F341" s="7" t="s">
        <v>1631</v>
      </c>
    </row>
    <row r="342" spans="2:6" ht="32" x14ac:dyDescent="0.2">
      <c r="B342" s="3" t="s">
        <v>1632</v>
      </c>
      <c r="C342" s="6" t="s">
        <v>274</v>
      </c>
      <c r="E342" s="3" t="s">
        <v>675</v>
      </c>
      <c r="F342" s="7" t="s">
        <v>1633</v>
      </c>
    </row>
    <row r="343" spans="2:6" ht="32" x14ac:dyDescent="0.2">
      <c r="B343" s="3" t="s">
        <v>1634</v>
      </c>
      <c r="C343" s="6" t="s">
        <v>274</v>
      </c>
      <c r="E343" s="3" t="s">
        <v>701</v>
      </c>
      <c r="F343" s="7" t="s">
        <v>1635</v>
      </c>
    </row>
    <row r="344" spans="2:6" ht="32" x14ac:dyDescent="0.2">
      <c r="B344" s="3" t="s">
        <v>1636</v>
      </c>
      <c r="C344" s="6" t="s">
        <v>274</v>
      </c>
      <c r="E344" s="3" t="s">
        <v>675</v>
      </c>
      <c r="F344" s="7" t="s">
        <v>1637</v>
      </c>
    </row>
    <row r="345" spans="2:6" ht="32" x14ac:dyDescent="0.2">
      <c r="B345" s="3" t="s">
        <v>1638</v>
      </c>
      <c r="C345" s="6" t="s">
        <v>274</v>
      </c>
      <c r="E345" s="3" t="s">
        <v>701</v>
      </c>
      <c r="F345" s="7" t="s">
        <v>1639</v>
      </c>
    </row>
    <row r="346" spans="2:6" ht="48" x14ac:dyDescent="0.2">
      <c r="B346" s="3" t="s">
        <v>1640</v>
      </c>
      <c r="C346" s="6" t="s">
        <v>274</v>
      </c>
      <c r="E346" s="3" t="s">
        <v>675</v>
      </c>
      <c r="F346" s="7" t="s">
        <v>1641</v>
      </c>
    </row>
    <row r="347" spans="2:6" ht="32" x14ac:dyDescent="0.2">
      <c r="B347" s="3" t="s">
        <v>1642</v>
      </c>
      <c r="C347" s="6" t="s">
        <v>274</v>
      </c>
      <c r="E347" s="3" t="s">
        <v>701</v>
      </c>
      <c r="F347" s="7" t="s">
        <v>1643</v>
      </c>
    </row>
    <row r="348" spans="2:6" ht="32" x14ac:dyDescent="0.2">
      <c r="B348" s="3" t="s">
        <v>1644</v>
      </c>
      <c r="C348" s="6" t="s">
        <v>274</v>
      </c>
      <c r="D348" s="3"/>
      <c r="E348" s="3" t="s">
        <v>675</v>
      </c>
      <c r="F348" s="7" t="s">
        <v>1645</v>
      </c>
    </row>
    <row r="349" spans="2:6" ht="32" x14ac:dyDescent="0.2">
      <c r="B349" s="3" t="s">
        <v>1646</v>
      </c>
      <c r="C349" s="6" t="s">
        <v>274</v>
      </c>
      <c r="D349" s="3"/>
      <c r="E349" s="3" t="s">
        <v>701</v>
      </c>
      <c r="F349" s="7" t="s">
        <v>1647</v>
      </c>
    </row>
    <row r="350" spans="2:6" ht="32" x14ac:dyDescent="0.2">
      <c r="B350" s="3" t="s">
        <v>1648</v>
      </c>
      <c r="C350" s="6" t="s">
        <v>274</v>
      </c>
      <c r="E350" s="3" t="s">
        <v>675</v>
      </c>
      <c r="F350" s="7" t="s">
        <v>1649</v>
      </c>
    </row>
    <row r="351" spans="2:6" ht="48" x14ac:dyDescent="0.2">
      <c r="B351" s="3" t="s">
        <v>1650</v>
      </c>
      <c r="C351" s="6" t="s">
        <v>274</v>
      </c>
      <c r="E351" s="3" t="s">
        <v>701</v>
      </c>
      <c r="F351" s="7" t="s">
        <v>1651</v>
      </c>
    </row>
    <row r="352" spans="2:6" s="6" customFormat="1" ht="32" x14ac:dyDescent="0.2">
      <c r="B352" s="3" t="s">
        <v>1652</v>
      </c>
      <c r="C352" s="6" t="s">
        <v>274</v>
      </c>
      <c r="E352" s="3" t="s">
        <v>675</v>
      </c>
      <c r="F352" s="7" t="s">
        <v>1653</v>
      </c>
    </row>
    <row r="356" spans="1:8" ht="32" x14ac:dyDescent="0.2">
      <c r="A356" s="21" t="s">
        <v>1654</v>
      </c>
      <c r="B356" s="3" t="s">
        <v>1655</v>
      </c>
      <c r="G356" s="3" t="s">
        <v>1656</v>
      </c>
    </row>
    <row r="357" spans="1:8" s="22" customFormat="1" ht="165.75" customHeight="1" x14ac:dyDescent="0.2">
      <c r="B357" s="23" t="s">
        <v>1657</v>
      </c>
      <c r="C357" s="22" t="s">
        <v>274</v>
      </c>
      <c r="D357" s="23" t="s">
        <v>1658</v>
      </c>
      <c r="E357" s="22" t="s">
        <v>675</v>
      </c>
      <c r="F357" s="24" t="s">
        <v>1659</v>
      </c>
      <c r="G357" s="23" t="s">
        <v>1660</v>
      </c>
    </row>
    <row r="358" spans="1:8" s="22" customFormat="1" ht="172.5" customHeight="1" x14ac:dyDescent="0.2">
      <c r="B358" s="23" t="s">
        <v>1661</v>
      </c>
      <c r="C358" s="22" t="s">
        <v>274</v>
      </c>
      <c r="D358" s="23" t="s">
        <v>1658</v>
      </c>
      <c r="E358" s="22" t="s">
        <v>675</v>
      </c>
      <c r="F358" s="24" t="s">
        <v>1662</v>
      </c>
      <c r="G358" s="23" t="s">
        <v>1660</v>
      </c>
    </row>
    <row r="359" spans="1:8" s="22" customFormat="1" ht="232.5" customHeight="1" x14ac:dyDescent="0.2">
      <c r="B359" s="23" t="s">
        <v>1663</v>
      </c>
      <c r="C359" s="22" t="s">
        <v>274</v>
      </c>
      <c r="D359" s="23" t="s">
        <v>1664</v>
      </c>
      <c r="E359" s="22" t="s">
        <v>675</v>
      </c>
      <c r="F359" s="24" t="s">
        <v>1665</v>
      </c>
      <c r="G359" s="23" t="s">
        <v>1666</v>
      </c>
    </row>
    <row r="360" spans="1:8" x14ac:dyDescent="0.2">
      <c r="C360" s="90"/>
      <c r="E360" s="90"/>
      <c r="F360" s="90"/>
      <c r="H360" s="18"/>
    </row>
    <row r="361" spans="1:8" x14ac:dyDescent="0.2">
      <c r="C361" s="90"/>
      <c r="E361" s="90"/>
      <c r="F361" s="90"/>
      <c r="H361" s="18"/>
    </row>
    <row r="362" spans="1:8" x14ac:dyDescent="0.2">
      <c r="C362" s="90"/>
      <c r="E362" s="90"/>
      <c r="F362" s="90"/>
      <c r="H362" s="18"/>
    </row>
    <row r="364" spans="1:8" ht="16" x14ac:dyDescent="0.2">
      <c r="E364" s="6">
        <f>COUNTIF(E2:E352,"WARN")</f>
        <v>118</v>
      </c>
      <c r="F364" s="7" t="s">
        <v>701</v>
      </c>
      <c r="G364" s="6"/>
    </row>
    <row r="365" spans="1:8" ht="16" x14ac:dyDescent="0.2">
      <c r="E365" s="6">
        <f>COUNTIF(E3:E353,"INFO")</f>
        <v>170</v>
      </c>
      <c r="F365" s="7" t="s">
        <v>675</v>
      </c>
      <c r="G365" s="6"/>
    </row>
    <row r="366" spans="1:8" ht="16" x14ac:dyDescent="0.2">
      <c r="E366" s="6">
        <f>COUNTIF(E5:E363,"ERROR")</f>
        <v>4</v>
      </c>
      <c r="F366" s="7" t="s">
        <v>925</v>
      </c>
      <c r="G366" s="6"/>
    </row>
  </sheetData>
  <mergeCells count="7">
    <mergeCell ref="A25:G25"/>
    <mergeCell ref="F31:G31"/>
    <mergeCell ref="A1:G1"/>
    <mergeCell ref="C3:G3"/>
    <mergeCell ref="C4:G4"/>
    <mergeCell ref="A22:G22"/>
    <mergeCell ref="A24:G24"/>
  </mergeCells>
  <pageMargins left="0.7" right="0.7" top="0.75" bottom="0.75" header="0.51180555555555496" footer="0.51180555555555496"/>
  <pageSetup firstPageNumber="0"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MK185"/>
  <sheetViews>
    <sheetView topLeftCell="A59" zoomScaleNormal="100" workbookViewId="0">
      <selection activeCell="C101" sqref="C101"/>
    </sheetView>
  </sheetViews>
  <sheetFormatPr baseColWidth="10" defaultColWidth="8.83203125" defaultRowHeight="15" x14ac:dyDescent="0.2"/>
  <cols>
    <col min="1" max="1" width="21.83203125" style="6" customWidth="1"/>
    <col min="2" max="2" width="16.6640625" style="6" customWidth="1"/>
    <col min="3" max="3" width="40.6640625" style="3" customWidth="1"/>
    <col min="4" max="4" width="11" style="3" customWidth="1"/>
    <col min="5" max="5" width="11.6640625" style="6" customWidth="1"/>
    <col min="6" max="6" width="19.5" style="6" customWidth="1"/>
    <col min="7" max="7" width="30.1640625" style="7" customWidth="1"/>
    <col min="8" max="8" width="40.1640625" style="3" customWidth="1"/>
    <col min="9" max="9" width="12" style="6" customWidth="1"/>
    <col min="10" max="1025" width="9.1640625" style="6" customWidth="1"/>
  </cols>
  <sheetData>
    <row r="1" spans="1:8" ht="42.75" customHeight="1" x14ac:dyDescent="0.3">
      <c r="A1" s="119" t="s">
        <v>1667</v>
      </c>
      <c r="B1" s="119"/>
      <c r="C1" s="119"/>
      <c r="D1" s="119"/>
      <c r="E1" s="119"/>
      <c r="F1" s="119"/>
      <c r="G1" s="119"/>
      <c r="H1" s="119"/>
    </row>
    <row r="2" spans="1:8" x14ac:dyDescent="0.2">
      <c r="A2" s="120"/>
      <c r="B2" s="120"/>
      <c r="C2" s="120"/>
      <c r="D2" s="120"/>
      <c r="E2" s="120"/>
      <c r="F2" s="120"/>
      <c r="G2" s="120"/>
      <c r="H2" s="120"/>
    </row>
    <row r="3" spans="1:8" s="18" customFormat="1" ht="14.5" customHeight="1" x14ac:dyDescent="0.2">
      <c r="A3" s="18" t="s">
        <v>2</v>
      </c>
      <c r="B3" s="18" t="s">
        <v>3</v>
      </c>
      <c r="C3" s="122" t="s">
        <v>43</v>
      </c>
      <c r="D3" s="122"/>
      <c r="E3" s="122"/>
      <c r="F3" s="122"/>
      <c r="G3" s="122"/>
      <c r="H3" s="122"/>
    </row>
    <row r="4" spans="1:8" x14ac:dyDescent="0.2">
      <c r="C4" s="88"/>
      <c r="D4" s="88"/>
    </row>
    <row r="5" spans="1:8" x14ac:dyDescent="0.2">
      <c r="A5" s="135" t="s">
        <v>930</v>
      </c>
      <c r="B5" s="135"/>
      <c r="C5" s="135"/>
      <c r="D5" s="135"/>
      <c r="E5" s="135"/>
      <c r="F5" s="135"/>
      <c r="G5" s="135"/>
      <c r="H5" s="135"/>
    </row>
    <row r="6" spans="1:8" s="19" customFormat="1" ht="18.75" customHeight="1" x14ac:dyDescent="0.2">
      <c r="A6" s="128" t="s">
        <v>1668</v>
      </c>
      <c r="B6" s="128"/>
      <c r="C6" s="128"/>
      <c r="D6" s="128"/>
      <c r="E6" s="128"/>
      <c r="F6" s="128"/>
      <c r="G6" s="128"/>
      <c r="H6" s="128"/>
    </row>
    <row r="7" spans="1:8" s="3" customFormat="1" ht="26.25" customHeight="1" x14ac:dyDescent="0.2">
      <c r="A7" s="128" t="s">
        <v>1669</v>
      </c>
      <c r="B7" s="128"/>
      <c r="C7" s="128"/>
      <c r="D7" s="128"/>
      <c r="E7" s="128"/>
      <c r="F7" s="128"/>
      <c r="G7" s="128"/>
      <c r="H7" s="128"/>
    </row>
    <row r="8" spans="1:8" s="3" customFormat="1" ht="21.75" customHeight="1" x14ac:dyDescent="0.2">
      <c r="A8" s="128" t="s">
        <v>1670</v>
      </c>
      <c r="B8" s="128"/>
      <c r="C8" s="128"/>
      <c r="D8" s="128"/>
      <c r="E8" s="128"/>
      <c r="F8" s="128"/>
      <c r="G8" s="128"/>
      <c r="H8" s="128"/>
    </row>
    <row r="9" spans="1:8" s="3" customFormat="1" ht="30.75" customHeight="1" x14ac:dyDescent="0.2">
      <c r="A9" s="128" t="s">
        <v>1671</v>
      </c>
      <c r="B9" s="128"/>
      <c r="C9" s="128"/>
      <c r="D9" s="128"/>
      <c r="E9" s="128"/>
      <c r="F9" s="128"/>
      <c r="G9" s="128"/>
      <c r="H9" s="128"/>
    </row>
    <row r="10" spans="1:8" s="3" customFormat="1" ht="14.25" customHeight="1" x14ac:dyDescent="0.2">
      <c r="A10" s="128" t="s">
        <v>1672</v>
      </c>
      <c r="B10" s="128"/>
      <c r="C10" s="128"/>
      <c r="D10" s="128"/>
      <c r="E10" s="128"/>
      <c r="F10" s="128"/>
      <c r="G10" s="128"/>
      <c r="H10" s="128"/>
    </row>
    <row r="11" spans="1:8" s="3" customFormat="1" ht="14.25" customHeight="1" x14ac:dyDescent="0.2">
      <c r="A11" s="128" t="s">
        <v>1673</v>
      </c>
      <c r="B11" s="128"/>
      <c r="C11" s="128"/>
      <c r="D11" s="128"/>
      <c r="E11" s="128"/>
      <c r="F11" s="128"/>
      <c r="G11" s="128"/>
      <c r="H11" s="128"/>
    </row>
    <row r="12" spans="1:8" s="3" customFormat="1" ht="43.5" customHeight="1" x14ac:dyDescent="0.2">
      <c r="A12" s="128" t="s">
        <v>1674</v>
      </c>
      <c r="B12" s="128"/>
      <c r="C12" s="128"/>
      <c r="D12" s="128"/>
      <c r="E12" s="128"/>
      <c r="F12" s="128"/>
      <c r="G12" s="128"/>
      <c r="H12" s="128"/>
    </row>
    <row r="13" spans="1:8" ht="87" customHeight="1" x14ac:dyDescent="0.2">
      <c r="A13" s="128" t="s">
        <v>1675</v>
      </c>
      <c r="B13" s="128"/>
      <c r="C13" s="128"/>
      <c r="D13" s="128"/>
      <c r="E13" s="128"/>
      <c r="F13" s="128"/>
      <c r="G13" s="128"/>
      <c r="H13" s="128"/>
    </row>
    <row r="14" spans="1:8" x14ac:dyDescent="0.2">
      <c r="A14" s="6" t="s">
        <v>1676</v>
      </c>
    </row>
    <row r="15" spans="1:8" ht="14.25" customHeight="1" x14ac:dyDescent="0.2"/>
    <row r="16" spans="1:8" ht="14.25" customHeight="1" x14ac:dyDescent="0.2"/>
    <row r="17" spans="1:8" ht="14.25" customHeight="1" x14ac:dyDescent="0.2"/>
    <row r="18" spans="1:8" ht="14.25" customHeight="1" x14ac:dyDescent="0.2"/>
    <row r="19" spans="1:8" ht="60.75" customHeight="1" x14ac:dyDescent="0.2">
      <c r="A19" s="8" t="s">
        <v>38</v>
      </c>
      <c r="B19" s="9" t="s">
        <v>1677</v>
      </c>
      <c r="C19" s="9" t="s">
        <v>40</v>
      </c>
      <c r="D19" s="9" t="s">
        <v>1678</v>
      </c>
      <c r="E19" s="9" t="s">
        <v>1679</v>
      </c>
      <c r="F19" s="8" t="s">
        <v>42</v>
      </c>
      <c r="G19" s="10" t="s">
        <v>671</v>
      </c>
      <c r="H19" s="9" t="s">
        <v>30</v>
      </c>
    </row>
    <row r="20" spans="1:8" ht="12.75" customHeight="1" x14ac:dyDescent="0.2">
      <c r="B20" s="3"/>
      <c r="E20" s="3"/>
    </row>
    <row r="21" spans="1:8" ht="42" customHeight="1" x14ac:dyDescent="0.2">
      <c r="B21" s="3"/>
      <c r="E21" s="3"/>
      <c r="H21" s="3" t="s">
        <v>1680</v>
      </c>
    </row>
    <row r="22" spans="1:8" ht="12.75" customHeight="1" x14ac:dyDescent="0.2">
      <c r="B22" s="3"/>
      <c r="E22" s="3"/>
    </row>
    <row r="23" spans="1:8" s="20" customFormat="1" ht="64" x14ac:dyDescent="0.2">
      <c r="A23" s="6" t="s">
        <v>1681</v>
      </c>
      <c r="C23" s="25"/>
      <c r="D23" s="25"/>
      <c r="G23" s="26"/>
      <c r="H23" s="3" t="s">
        <v>1682</v>
      </c>
    </row>
    <row r="24" spans="1:8" ht="16" x14ac:dyDescent="0.2">
      <c r="C24" s="3" t="s">
        <v>1683</v>
      </c>
      <c r="D24" s="3" t="s">
        <v>274</v>
      </c>
      <c r="E24" s="6" t="s">
        <v>274</v>
      </c>
      <c r="F24" s="6" t="s">
        <v>1684</v>
      </c>
      <c r="G24" s="7" t="s">
        <v>1685</v>
      </c>
      <c r="H24" s="3" t="s">
        <v>1686</v>
      </c>
    </row>
    <row r="25" spans="1:8" ht="16" x14ac:dyDescent="0.2">
      <c r="C25" s="3" t="s">
        <v>1687</v>
      </c>
      <c r="D25" s="3" t="s">
        <v>274</v>
      </c>
      <c r="E25" s="6" t="s">
        <v>274</v>
      </c>
      <c r="F25" s="6" t="s">
        <v>1684</v>
      </c>
      <c r="G25" s="7" t="s">
        <v>1688</v>
      </c>
    </row>
    <row r="26" spans="1:8" ht="16" x14ac:dyDescent="0.2">
      <c r="C26" s="3" t="s">
        <v>1689</v>
      </c>
      <c r="D26" s="3" t="s">
        <v>274</v>
      </c>
      <c r="E26" s="6" t="s">
        <v>274</v>
      </c>
      <c r="F26" s="6" t="s">
        <v>1684</v>
      </c>
      <c r="G26" s="7" t="s">
        <v>1690</v>
      </c>
    </row>
    <row r="27" spans="1:8" ht="16" x14ac:dyDescent="0.2">
      <c r="C27" s="3" t="s">
        <v>1691</v>
      </c>
      <c r="D27" s="3" t="s">
        <v>274</v>
      </c>
      <c r="E27" s="6" t="s">
        <v>274</v>
      </c>
      <c r="F27" s="6" t="s">
        <v>1684</v>
      </c>
      <c r="G27" s="7" t="s">
        <v>1692</v>
      </c>
    </row>
    <row r="28" spans="1:8" ht="16" x14ac:dyDescent="0.2">
      <c r="C28" s="3" t="s">
        <v>1693</v>
      </c>
      <c r="D28" s="3" t="s">
        <v>274</v>
      </c>
      <c r="E28" s="6" t="s">
        <v>274</v>
      </c>
      <c r="F28" s="6" t="s">
        <v>1684</v>
      </c>
      <c r="G28" s="7" t="s">
        <v>1694</v>
      </c>
    </row>
    <row r="29" spans="1:8" ht="16" x14ac:dyDescent="0.2">
      <c r="C29" s="3" t="s">
        <v>1695</v>
      </c>
      <c r="D29" s="3" t="s">
        <v>274</v>
      </c>
      <c r="E29" s="6" t="s">
        <v>274</v>
      </c>
      <c r="F29" s="6" t="s">
        <v>1684</v>
      </c>
      <c r="G29" s="7" t="s">
        <v>1696</v>
      </c>
    </row>
    <row r="30" spans="1:8" ht="32" x14ac:dyDescent="0.2">
      <c r="C30" s="3" t="s">
        <v>1697</v>
      </c>
      <c r="D30" s="3" t="s">
        <v>274</v>
      </c>
      <c r="E30" s="6" t="s">
        <v>274</v>
      </c>
      <c r="F30" s="6" t="s">
        <v>1684</v>
      </c>
      <c r="G30" s="7" t="s">
        <v>1698</v>
      </c>
    </row>
    <row r="31" spans="1:8" ht="32" x14ac:dyDescent="0.2">
      <c r="C31" s="3" t="s">
        <v>1699</v>
      </c>
      <c r="D31" s="3" t="s">
        <v>274</v>
      </c>
      <c r="E31" s="6" t="s">
        <v>274</v>
      </c>
      <c r="F31" s="6" t="s">
        <v>1684</v>
      </c>
      <c r="G31" s="7" t="s">
        <v>1700</v>
      </c>
    </row>
    <row r="32" spans="1:8" ht="16" x14ac:dyDescent="0.2">
      <c r="C32" s="3" t="s">
        <v>1701</v>
      </c>
      <c r="D32" s="3" t="s">
        <v>274</v>
      </c>
      <c r="E32" s="6" t="s">
        <v>274</v>
      </c>
      <c r="F32" s="6" t="s">
        <v>1684</v>
      </c>
      <c r="G32" s="7" t="s">
        <v>1702</v>
      </c>
    </row>
    <row r="33" spans="1:8" ht="16" x14ac:dyDescent="0.2">
      <c r="C33" s="3" t="s">
        <v>1703</v>
      </c>
      <c r="D33" s="3" t="s">
        <v>274</v>
      </c>
      <c r="E33" s="6" t="s">
        <v>274</v>
      </c>
      <c r="F33" s="6" t="s">
        <v>1684</v>
      </c>
      <c r="G33" s="7" t="s">
        <v>1704</v>
      </c>
    </row>
    <row r="34" spans="1:8" ht="32" x14ac:dyDescent="0.2">
      <c r="C34" s="3" t="s">
        <v>1705</v>
      </c>
      <c r="D34" s="3" t="s">
        <v>274</v>
      </c>
      <c r="E34" s="6" t="s">
        <v>274</v>
      </c>
      <c r="F34" s="6" t="s">
        <v>1684</v>
      </c>
      <c r="G34" s="7" t="s">
        <v>1706</v>
      </c>
      <c r="H34" s="3" t="s">
        <v>1707</v>
      </c>
    </row>
    <row r="37" spans="1:8" ht="80" x14ac:dyDescent="0.2">
      <c r="A37" s="6" t="s">
        <v>1708</v>
      </c>
      <c r="H37" s="3" t="s">
        <v>1709</v>
      </c>
    </row>
    <row r="38" spans="1:8" ht="16" x14ac:dyDescent="0.2">
      <c r="C38" s="3" t="s">
        <v>1710</v>
      </c>
      <c r="D38" s="3" t="s">
        <v>274</v>
      </c>
      <c r="E38" s="6" t="s">
        <v>274</v>
      </c>
      <c r="F38" s="6" t="s">
        <v>1684</v>
      </c>
      <c r="G38" s="7" t="s">
        <v>1711</v>
      </c>
    </row>
    <row r="39" spans="1:8" ht="32" x14ac:dyDescent="0.2">
      <c r="C39" s="3" t="s">
        <v>1712</v>
      </c>
      <c r="D39" s="3" t="s">
        <v>274</v>
      </c>
      <c r="E39" s="6" t="s">
        <v>274</v>
      </c>
      <c r="F39" s="6" t="s">
        <v>1684</v>
      </c>
      <c r="G39" s="7" t="s">
        <v>1713</v>
      </c>
    </row>
    <row r="40" spans="1:8" ht="32" x14ac:dyDescent="0.2">
      <c r="C40" s="3" t="s">
        <v>1714</v>
      </c>
      <c r="D40" s="3" t="s">
        <v>274</v>
      </c>
      <c r="E40" s="6" t="s">
        <v>274</v>
      </c>
      <c r="F40" s="6" t="s">
        <v>1684</v>
      </c>
      <c r="G40" s="7" t="s">
        <v>1715</v>
      </c>
    </row>
    <row r="41" spans="1:8" ht="32" x14ac:dyDescent="0.2">
      <c r="C41" s="3" t="s">
        <v>1716</v>
      </c>
      <c r="D41" s="3" t="s">
        <v>274</v>
      </c>
      <c r="E41" s="6" t="s">
        <v>274</v>
      </c>
      <c r="F41" s="6" t="s">
        <v>1684</v>
      </c>
      <c r="G41" s="7" t="s">
        <v>1717</v>
      </c>
    </row>
    <row r="42" spans="1:8" ht="32" x14ac:dyDescent="0.2">
      <c r="C42" s="3" t="s">
        <v>1718</v>
      </c>
      <c r="D42" s="3" t="s">
        <v>274</v>
      </c>
      <c r="E42" s="6" t="s">
        <v>274</v>
      </c>
      <c r="F42" s="6" t="s">
        <v>1684</v>
      </c>
      <c r="G42" s="7" t="s">
        <v>1719</v>
      </c>
    </row>
    <row r="43" spans="1:8" ht="15.75" customHeight="1" x14ac:dyDescent="0.2">
      <c r="C43" s="3" t="s">
        <v>1720</v>
      </c>
      <c r="D43" s="3" t="s">
        <v>274</v>
      </c>
      <c r="E43" s="6" t="s">
        <v>274</v>
      </c>
      <c r="F43" s="6" t="s">
        <v>1684</v>
      </c>
      <c r="G43" s="7" t="s">
        <v>1721</v>
      </c>
    </row>
    <row r="44" spans="1:8" ht="32" x14ac:dyDescent="0.2">
      <c r="C44" s="3" t="s">
        <v>1722</v>
      </c>
      <c r="D44" s="3" t="s">
        <v>274</v>
      </c>
      <c r="E44" s="6" t="s">
        <v>274</v>
      </c>
      <c r="F44" s="6" t="s">
        <v>1684</v>
      </c>
      <c r="G44" s="7" t="s">
        <v>1723</v>
      </c>
    </row>
    <row r="45" spans="1:8" ht="16" x14ac:dyDescent="0.2">
      <c r="C45" s="3" t="s">
        <v>1724</v>
      </c>
      <c r="D45" s="3" t="s">
        <v>274</v>
      </c>
      <c r="E45" s="6" t="s">
        <v>274</v>
      </c>
      <c r="F45" s="6" t="s">
        <v>1684</v>
      </c>
      <c r="G45" s="7" t="s">
        <v>1725</v>
      </c>
    </row>
    <row r="46" spans="1:8" ht="32" x14ac:dyDescent="0.2">
      <c r="C46" s="3" t="s">
        <v>1726</v>
      </c>
      <c r="D46" s="3" t="s">
        <v>274</v>
      </c>
      <c r="E46" s="6" t="s">
        <v>274</v>
      </c>
      <c r="F46" s="6" t="s">
        <v>1684</v>
      </c>
      <c r="G46" s="7" t="s">
        <v>1727</v>
      </c>
    </row>
    <row r="47" spans="1:8" ht="32" x14ac:dyDescent="0.2">
      <c r="C47" s="3" t="s">
        <v>1728</v>
      </c>
      <c r="D47" s="3" t="s">
        <v>274</v>
      </c>
      <c r="E47" s="6" t="s">
        <v>274</v>
      </c>
      <c r="F47" s="6" t="s">
        <v>1684</v>
      </c>
      <c r="G47" s="7" t="s">
        <v>1729</v>
      </c>
    </row>
    <row r="48" spans="1:8" ht="32" x14ac:dyDescent="0.2">
      <c r="C48" s="3" t="s">
        <v>1730</v>
      </c>
      <c r="D48" s="3" t="s">
        <v>274</v>
      </c>
      <c r="E48" s="6" t="s">
        <v>274</v>
      </c>
      <c r="F48" s="6" t="s">
        <v>1684</v>
      </c>
      <c r="G48" s="7" t="s">
        <v>1731</v>
      </c>
    </row>
    <row r="49" spans="1:8" ht="32" x14ac:dyDescent="0.2">
      <c r="C49" s="3" t="s">
        <v>1732</v>
      </c>
      <c r="D49" s="3" t="s">
        <v>274</v>
      </c>
      <c r="E49" s="6" t="s">
        <v>274</v>
      </c>
      <c r="F49" s="6" t="s">
        <v>1684</v>
      </c>
      <c r="G49" s="7" t="s">
        <v>1733</v>
      </c>
    </row>
    <row r="50" spans="1:8" ht="15.75" customHeight="1" x14ac:dyDescent="0.2">
      <c r="C50" s="3" t="s">
        <v>1734</v>
      </c>
      <c r="D50" s="3" t="s">
        <v>274</v>
      </c>
      <c r="E50" s="6" t="s">
        <v>274</v>
      </c>
      <c r="F50" s="6" t="s">
        <v>1684</v>
      </c>
      <c r="G50" s="7" t="s">
        <v>1735</v>
      </c>
    </row>
    <row r="51" spans="1:8" ht="18.75" customHeight="1" x14ac:dyDescent="0.2">
      <c r="C51" s="3" t="s">
        <v>1736</v>
      </c>
      <c r="D51" s="3" t="s">
        <v>274</v>
      </c>
      <c r="E51" s="6" t="s">
        <v>274</v>
      </c>
      <c r="F51" s="6" t="s">
        <v>1684</v>
      </c>
      <c r="G51" s="7" t="s">
        <v>1737</v>
      </c>
    </row>
    <row r="53" spans="1:8" ht="128" x14ac:dyDescent="0.2">
      <c r="A53" s="6" t="s">
        <v>1738</v>
      </c>
      <c r="H53" s="3" t="s">
        <v>1739</v>
      </c>
    </row>
    <row r="54" spans="1:8" ht="33" customHeight="1" x14ac:dyDescent="0.2">
      <c r="C54" s="3" t="s">
        <v>1740</v>
      </c>
      <c r="D54" s="3" t="s">
        <v>174</v>
      </c>
      <c r="E54" s="6" t="s">
        <v>174</v>
      </c>
      <c r="F54" s="3" t="s">
        <v>1741</v>
      </c>
      <c r="G54" s="7" t="s">
        <v>1742</v>
      </c>
    </row>
    <row r="55" spans="1:8" ht="32" x14ac:dyDescent="0.2">
      <c r="C55" s="3" t="s">
        <v>1743</v>
      </c>
      <c r="D55" s="3" t="s">
        <v>174</v>
      </c>
      <c r="E55" s="6" t="s">
        <v>174</v>
      </c>
      <c r="F55" s="3" t="s">
        <v>1741</v>
      </c>
      <c r="G55" s="7" t="s">
        <v>1744</v>
      </c>
      <c r="H55" s="3" t="s">
        <v>1745</v>
      </c>
    </row>
    <row r="56" spans="1:8" ht="32" x14ac:dyDescent="0.2">
      <c r="C56" s="3" t="s">
        <v>1746</v>
      </c>
      <c r="D56" s="3" t="s">
        <v>274</v>
      </c>
      <c r="E56" s="6" t="s">
        <v>274</v>
      </c>
      <c r="F56" s="3" t="s">
        <v>1741</v>
      </c>
      <c r="G56" s="7" t="s">
        <v>1747</v>
      </c>
    </row>
    <row r="57" spans="1:8" ht="32" x14ac:dyDescent="0.2">
      <c r="C57" s="3" t="s">
        <v>1748</v>
      </c>
      <c r="D57" s="3" t="s">
        <v>274</v>
      </c>
      <c r="E57" s="6" t="s">
        <v>274</v>
      </c>
      <c r="F57" s="3" t="s">
        <v>1741</v>
      </c>
      <c r="G57" s="7" t="s">
        <v>1749</v>
      </c>
    </row>
    <row r="58" spans="1:8" x14ac:dyDescent="0.2">
      <c r="F58" s="3"/>
    </row>
    <row r="59" spans="1:8" ht="31.5" customHeight="1" x14ac:dyDescent="0.2"/>
    <row r="60" spans="1:8" ht="128" x14ac:dyDescent="0.2">
      <c r="A60" s="6" t="s">
        <v>1750</v>
      </c>
      <c r="B60" s="6" t="s">
        <v>1751</v>
      </c>
      <c r="H60" s="3" t="s">
        <v>1752</v>
      </c>
    </row>
    <row r="61" spans="1:8" ht="32" x14ac:dyDescent="0.2">
      <c r="C61" s="3" t="s">
        <v>1753</v>
      </c>
      <c r="D61" s="3" t="s">
        <v>274</v>
      </c>
      <c r="E61" s="6" t="s">
        <v>274</v>
      </c>
      <c r="F61" s="3" t="s">
        <v>1754</v>
      </c>
      <c r="G61" s="7" t="s">
        <v>1755</v>
      </c>
    </row>
    <row r="62" spans="1:8" ht="32" x14ac:dyDescent="0.2">
      <c r="C62" s="3" t="s">
        <v>1756</v>
      </c>
      <c r="D62" s="3" t="s">
        <v>274</v>
      </c>
      <c r="E62" s="6" t="s">
        <v>274</v>
      </c>
      <c r="F62" s="3" t="s">
        <v>1754</v>
      </c>
      <c r="G62" s="7" t="s">
        <v>1757</v>
      </c>
    </row>
    <row r="63" spans="1:8" ht="32" x14ac:dyDescent="0.2">
      <c r="C63" s="3" t="s">
        <v>1758</v>
      </c>
      <c r="D63" s="3" t="s">
        <v>174</v>
      </c>
      <c r="E63" s="6" t="s">
        <v>174</v>
      </c>
      <c r="F63" s="3" t="s">
        <v>1754</v>
      </c>
      <c r="G63" s="7" t="s">
        <v>1759</v>
      </c>
    </row>
    <row r="64" spans="1:8" ht="32" x14ac:dyDescent="0.2">
      <c r="C64" s="3" t="s">
        <v>1760</v>
      </c>
      <c r="D64" s="3" t="s">
        <v>174</v>
      </c>
      <c r="E64" s="6" t="s">
        <v>174</v>
      </c>
      <c r="F64" s="3" t="s">
        <v>1754</v>
      </c>
      <c r="G64" s="7" t="s">
        <v>1761</v>
      </c>
    </row>
    <row r="65" spans="1:8" ht="32" x14ac:dyDescent="0.2">
      <c r="C65" s="3" t="s">
        <v>1762</v>
      </c>
      <c r="D65" s="3" t="s">
        <v>174</v>
      </c>
      <c r="E65" s="6" t="s">
        <v>174</v>
      </c>
      <c r="F65" s="3" t="s">
        <v>1754</v>
      </c>
      <c r="G65" s="7" t="s">
        <v>1763</v>
      </c>
      <c r="H65" s="3" t="s">
        <v>1764</v>
      </c>
    </row>
    <row r="66" spans="1:8" ht="32" x14ac:dyDescent="0.2">
      <c r="C66" s="3" t="s">
        <v>1765</v>
      </c>
      <c r="D66" s="3" t="s">
        <v>174</v>
      </c>
      <c r="E66" s="6" t="s">
        <v>174</v>
      </c>
      <c r="F66" s="3" t="s">
        <v>1754</v>
      </c>
      <c r="G66" s="7" t="s">
        <v>1766</v>
      </c>
      <c r="H66" s="3" t="s">
        <v>1767</v>
      </c>
    </row>
    <row r="67" spans="1:8" ht="32" x14ac:dyDescent="0.2">
      <c r="C67" s="3" t="s">
        <v>1768</v>
      </c>
      <c r="D67" s="3" t="s">
        <v>174</v>
      </c>
      <c r="E67" s="6" t="s">
        <v>174</v>
      </c>
      <c r="F67" s="3" t="s">
        <v>1754</v>
      </c>
      <c r="G67" s="7" t="s">
        <v>1769</v>
      </c>
    </row>
    <row r="68" spans="1:8" ht="32" x14ac:dyDescent="0.2">
      <c r="C68" s="3" t="s">
        <v>1768</v>
      </c>
      <c r="D68" s="3" t="s">
        <v>174</v>
      </c>
      <c r="E68" s="6" t="s">
        <v>174</v>
      </c>
      <c r="F68" s="3" t="s">
        <v>1754</v>
      </c>
      <c r="G68" s="7" t="s">
        <v>1770</v>
      </c>
    </row>
    <row r="73" spans="1:8" ht="144" x14ac:dyDescent="0.2">
      <c r="A73" s="6" t="s">
        <v>1771</v>
      </c>
      <c r="H73" s="3" t="s">
        <v>1772</v>
      </c>
    </row>
    <row r="74" spans="1:8" ht="32" x14ac:dyDescent="0.2">
      <c r="C74" s="3" t="s">
        <v>1773</v>
      </c>
      <c r="D74" s="3" t="s">
        <v>274</v>
      </c>
      <c r="E74" s="6" t="s">
        <v>274</v>
      </c>
      <c r="F74" s="3" t="s">
        <v>1754</v>
      </c>
      <c r="G74" s="7" t="s">
        <v>1774</v>
      </c>
    </row>
    <row r="75" spans="1:8" ht="80" x14ac:dyDescent="0.2">
      <c r="C75" s="3" t="s">
        <v>1775</v>
      </c>
      <c r="D75" s="3" t="s">
        <v>274</v>
      </c>
      <c r="E75" s="6" t="s">
        <v>274</v>
      </c>
      <c r="F75" s="3" t="s">
        <v>1776</v>
      </c>
      <c r="G75" s="7" t="s">
        <v>1777</v>
      </c>
      <c r="H75" s="3" t="s">
        <v>1778</v>
      </c>
    </row>
    <row r="76" spans="1:8" ht="48" x14ac:dyDescent="0.2">
      <c r="C76" s="3" t="s">
        <v>1779</v>
      </c>
      <c r="D76" s="3" t="s">
        <v>274</v>
      </c>
      <c r="E76" s="6" t="s">
        <v>274</v>
      </c>
      <c r="F76" s="3" t="s">
        <v>1754</v>
      </c>
      <c r="G76" s="7" t="s">
        <v>1780</v>
      </c>
      <c r="H76" s="3" t="s">
        <v>1781</v>
      </c>
    </row>
    <row r="77" spans="1:8" ht="32" x14ac:dyDescent="0.2">
      <c r="C77" s="3" t="s">
        <v>1782</v>
      </c>
      <c r="D77" s="3" t="s">
        <v>274</v>
      </c>
      <c r="E77" s="6" t="s">
        <v>274</v>
      </c>
      <c r="F77" s="3" t="s">
        <v>1754</v>
      </c>
      <c r="G77" s="7" t="s">
        <v>1783</v>
      </c>
    </row>
    <row r="78" spans="1:8" ht="32" x14ac:dyDescent="0.2">
      <c r="C78" s="3" t="s">
        <v>1784</v>
      </c>
      <c r="D78" s="3" t="s">
        <v>274</v>
      </c>
      <c r="E78" s="6" t="s">
        <v>274</v>
      </c>
      <c r="F78" s="3" t="s">
        <v>1754</v>
      </c>
      <c r="G78" s="7" t="s">
        <v>1785</v>
      </c>
      <c r="H78" s="3" t="s">
        <v>1786</v>
      </c>
    </row>
    <row r="80" spans="1:8" ht="128" x14ac:dyDescent="0.2">
      <c r="A80" s="6" t="s">
        <v>1787</v>
      </c>
      <c r="C80" s="3" t="s">
        <v>1788</v>
      </c>
      <c r="H80" s="3" t="s">
        <v>1789</v>
      </c>
    </row>
    <row r="82" spans="3:8" ht="48" x14ac:dyDescent="0.2">
      <c r="C82" s="3" t="s">
        <v>1790</v>
      </c>
      <c r="D82" s="3" t="s">
        <v>46</v>
      </c>
      <c r="E82" s="6" t="s">
        <v>46</v>
      </c>
      <c r="F82" s="3" t="s">
        <v>1791</v>
      </c>
      <c r="G82" s="7" t="s">
        <v>1792</v>
      </c>
    </row>
    <row r="83" spans="3:8" ht="48" x14ac:dyDescent="0.2">
      <c r="C83" s="3" t="s">
        <v>1793</v>
      </c>
      <c r="D83" s="3" t="s">
        <v>274</v>
      </c>
      <c r="E83" s="6" t="s">
        <v>274</v>
      </c>
      <c r="F83" s="3" t="s">
        <v>1791</v>
      </c>
      <c r="G83" s="7" t="s">
        <v>1794</v>
      </c>
    </row>
    <row r="84" spans="3:8" ht="80" x14ac:dyDescent="0.2">
      <c r="C84" s="3" t="s">
        <v>1795</v>
      </c>
      <c r="D84" s="3" t="s">
        <v>274</v>
      </c>
      <c r="E84" s="6" t="s">
        <v>274</v>
      </c>
      <c r="F84" s="3" t="s">
        <v>1791</v>
      </c>
      <c r="G84" s="7" t="s">
        <v>1796</v>
      </c>
      <c r="H84" s="3" t="s">
        <v>1797</v>
      </c>
    </row>
    <row r="85" spans="3:8" ht="48" x14ac:dyDescent="0.2">
      <c r="C85" s="3" t="s">
        <v>1798</v>
      </c>
      <c r="D85" s="3" t="s">
        <v>274</v>
      </c>
      <c r="E85" s="6" t="s">
        <v>274</v>
      </c>
      <c r="F85" s="3" t="s">
        <v>1791</v>
      </c>
      <c r="G85" s="7" t="s">
        <v>1799</v>
      </c>
      <c r="H85" s="3" t="s">
        <v>1800</v>
      </c>
    </row>
    <row r="86" spans="3:8" ht="48" x14ac:dyDescent="0.2">
      <c r="C86" s="3" t="s">
        <v>1801</v>
      </c>
      <c r="D86" s="3" t="s">
        <v>274</v>
      </c>
      <c r="E86" s="6" t="s">
        <v>274</v>
      </c>
      <c r="F86" s="3" t="s">
        <v>1791</v>
      </c>
      <c r="G86" s="7" t="s">
        <v>1802</v>
      </c>
      <c r="H86" s="3" t="s">
        <v>1803</v>
      </c>
    </row>
    <row r="87" spans="3:8" ht="64" x14ac:dyDescent="0.2">
      <c r="C87" s="3" t="s">
        <v>1804</v>
      </c>
      <c r="D87" s="3" t="s">
        <v>274</v>
      </c>
      <c r="E87" s="6" t="s">
        <v>274</v>
      </c>
      <c r="F87" s="3" t="s">
        <v>1791</v>
      </c>
      <c r="G87" s="7" t="s">
        <v>1805</v>
      </c>
      <c r="H87" s="3" t="s">
        <v>1806</v>
      </c>
    </row>
    <row r="88" spans="3:8" ht="48" x14ac:dyDescent="0.2">
      <c r="C88" s="3" t="s">
        <v>1807</v>
      </c>
      <c r="D88" s="3" t="s">
        <v>274</v>
      </c>
      <c r="E88" s="6" t="s">
        <v>274</v>
      </c>
      <c r="F88" s="3" t="s">
        <v>1791</v>
      </c>
      <c r="G88" s="7" t="s">
        <v>1808</v>
      </c>
      <c r="H88" s="3" t="s">
        <v>1809</v>
      </c>
    </row>
    <row r="89" spans="3:8" ht="48" x14ac:dyDescent="0.2">
      <c r="C89" s="3" t="s">
        <v>1810</v>
      </c>
      <c r="D89" s="3" t="s">
        <v>274</v>
      </c>
      <c r="E89" s="6" t="s">
        <v>274</v>
      </c>
      <c r="F89" s="3" t="s">
        <v>1791</v>
      </c>
      <c r="G89" s="7" t="s">
        <v>1811</v>
      </c>
    </row>
    <row r="90" spans="3:8" ht="50.25" customHeight="1" x14ac:dyDescent="0.2">
      <c r="C90" s="3" t="s">
        <v>1812</v>
      </c>
      <c r="D90" s="3" t="s">
        <v>174</v>
      </c>
      <c r="E90" s="6" t="s">
        <v>174</v>
      </c>
      <c r="F90" s="3" t="s">
        <v>1791</v>
      </c>
      <c r="G90" s="7" t="s">
        <v>1813</v>
      </c>
    </row>
    <row r="91" spans="3:8" ht="48" x14ac:dyDescent="0.2">
      <c r="C91" s="3" t="s">
        <v>1814</v>
      </c>
      <c r="D91" s="3" t="s">
        <v>174</v>
      </c>
      <c r="E91" s="6" t="s">
        <v>174</v>
      </c>
      <c r="F91" s="3" t="s">
        <v>1791</v>
      </c>
      <c r="G91" s="7" t="s">
        <v>1815</v>
      </c>
      <c r="H91" s="3" t="s">
        <v>1816</v>
      </c>
    </row>
    <row r="92" spans="3:8" ht="60.75" customHeight="1" x14ac:dyDescent="0.2">
      <c r="C92" s="3" t="s">
        <v>1817</v>
      </c>
      <c r="D92" s="3" t="s">
        <v>274</v>
      </c>
      <c r="E92" s="6" t="s">
        <v>274</v>
      </c>
      <c r="F92" s="3" t="s">
        <v>1791</v>
      </c>
      <c r="G92" s="7" t="s">
        <v>1818</v>
      </c>
    </row>
    <row r="93" spans="3:8" ht="60.75" customHeight="1" x14ac:dyDescent="0.2">
      <c r="C93" s="3" t="s">
        <v>1819</v>
      </c>
      <c r="D93" s="3" t="s">
        <v>274</v>
      </c>
      <c r="E93" s="6" t="s">
        <v>274</v>
      </c>
      <c r="F93" s="3" t="s">
        <v>1791</v>
      </c>
      <c r="G93" s="7" t="s">
        <v>1820</v>
      </c>
      <c r="H93" s="3" t="s">
        <v>1821</v>
      </c>
    </row>
    <row r="94" spans="3:8" ht="60.75" customHeight="1" x14ac:dyDescent="0.2">
      <c r="C94" s="3" t="s">
        <v>1822</v>
      </c>
      <c r="D94" s="3" t="s">
        <v>274</v>
      </c>
      <c r="E94" s="6" t="s">
        <v>274</v>
      </c>
      <c r="F94" s="3" t="s">
        <v>1791</v>
      </c>
      <c r="G94" s="7" t="s">
        <v>1823</v>
      </c>
    </row>
    <row r="95" spans="3:8" ht="60.75" customHeight="1" x14ac:dyDescent="0.2">
      <c r="C95" s="3" t="s">
        <v>1824</v>
      </c>
      <c r="D95" s="3" t="s">
        <v>274</v>
      </c>
      <c r="E95" s="6" t="s">
        <v>274</v>
      </c>
      <c r="F95" s="3" t="s">
        <v>1791</v>
      </c>
      <c r="G95" s="7" t="s">
        <v>1825</v>
      </c>
    </row>
    <row r="96" spans="3:8" ht="60.75" customHeight="1" x14ac:dyDescent="0.2">
      <c r="C96" s="3" t="s">
        <v>1826</v>
      </c>
      <c r="D96" s="3" t="s">
        <v>274</v>
      </c>
      <c r="E96" s="6" t="s">
        <v>274</v>
      </c>
      <c r="F96" s="3" t="s">
        <v>1791</v>
      </c>
      <c r="G96" s="7" t="s">
        <v>1827</v>
      </c>
    </row>
    <row r="97" spans="1:8" x14ac:dyDescent="0.2">
      <c r="F97" s="3"/>
    </row>
    <row r="98" spans="1:8" ht="16" x14ac:dyDescent="0.2">
      <c r="A98" s="6" t="s">
        <v>1828</v>
      </c>
      <c r="F98" s="3"/>
      <c r="H98" s="3" t="s">
        <v>1829</v>
      </c>
    </row>
    <row r="99" spans="1:8" ht="64" x14ac:dyDescent="0.2">
      <c r="C99" s="3" t="s">
        <v>1830</v>
      </c>
      <c r="D99" s="3" t="s">
        <v>274</v>
      </c>
      <c r="E99" s="6" t="s">
        <v>274</v>
      </c>
      <c r="F99" s="3" t="s">
        <v>1684</v>
      </c>
      <c r="G99" s="7" t="s">
        <v>1831</v>
      </c>
      <c r="H99" s="3" t="s">
        <v>1832</v>
      </c>
    </row>
    <row r="100" spans="1:8" ht="32" x14ac:dyDescent="0.2">
      <c r="C100" s="3" t="s">
        <v>1833</v>
      </c>
      <c r="D100" s="3" t="s">
        <v>274</v>
      </c>
      <c r="E100" s="6" t="s">
        <v>274</v>
      </c>
      <c r="F100" s="3" t="s">
        <v>1684</v>
      </c>
      <c r="G100" s="7" t="s">
        <v>1834</v>
      </c>
      <c r="H100" s="3" t="s">
        <v>1835</v>
      </c>
    </row>
    <row r="101" spans="1:8" ht="112" x14ac:dyDescent="0.2">
      <c r="C101" s="15" t="s">
        <v>1836</v>
      </c>
      <c r="D101" s="3" t="s">
        <v>274</v>
      </c>
      <c r="E101" s="6" t="s">
        <v>274</v>
      </c>
      <c r="F101" s="3" t="s">
        <v>1684</v>
      </c>
      <c r="G101" s="7" t="s">
        <v>1837</v>
      </c>
      <c r="H101" s="3" t="s">
        <v>1838</v>
      </c>
    </row>
    <row r="102" spans="1:8" ht="32" x14ac:dyDescent="0.2">
      <c r="C102" s="3" t="s">
        <v>1839</v>
      </c>
      <c r="D102" s="3" t="s">
        <v>274</v>
      </c>
      <c r="E102" s="6" t="s">
        <v>274</v>
      </c>
      <c r="F102" s="3" t="s">
        <v>1684</v>
      </c>
      <c r="G102" s="7" t="s">
        <v>1840</v>
      </c>
      <c r="H102" s="3" t="s">
        <v>1841</v>
      </c>
    </row>
    <row r="103" spans="1:8" ht="16" x14ac:dyDescent="0.2">
      <c r="C103" s="3" t="s">
        <v>1842</v>
      </c>
      <c r="D103" s="3" t="s">
        <v>274</v>
      </c>
      <c r="E103" s="6" t="s">
        <v>274</v>
      </c>
      <c r="F103" s="3" t="s">
        <v>1684</v>
      </c>
      <c r="G103" s="7" t="s">
        <v>1843</v>
      </c>
    </row>
    <row r="104" spans="1:8" ht="16" x14ac:dyDescent="0.2">
      <c r="C104" s="3" t="s">
        <v>1844</v>
      </c>
      <c r="D104" s="3" t="s">
        <v>274</v>
      </c>
      <c r="E104" s="6" t="s">
        <v>274</v>
      </c>
      <c r="F104" s="3" t="s">
        <v>1684</v>
      </c>
      <c r="G104" s="7" t="s">
        <v>1845</v>
      </c>
      <c r="H104" s="3" t="s">
        <v>1846</v>
      </c>
    </row>
    <row r="105" spans="1:8" ht="16" x14ac:dyDescent="0.2">
      <c r="C105" s="3" t="s">
        <v>1847</v>
      </c>
      <c r="D105" s="3" t="s">
        <v>274</v>
      </c>
      <c r="E105" s="6" t="s">
        <v>274</v>
      </c>
      <c r="F105" s="3" t="s">
        <v>1684</v>
      </c>
      <c r="G105" s="7" t="s">
        <v>1848</v>
      </c>
    </row>
    <row r="106" spans="1:8" ht="64" x14ac:dyDescent="0.2">
      <c r="C106" s="3" t="s">
        <v>1849</v>
      </c>
      <c r="D106" s="3" t="s">
        <v>274</v>
      </c>
      <c r="E106" s="6" t="s">
        <v>274</v>
      </c>
      <c r="F106" s="3" t="s">
        <v>1684</v>
      </c>
      <c r="G106" s="7" t="s">
        <v>1850</v>
      </c>
      <c r="H106" s="3" t="s">
        <v>1851</v>
      </c>
    </row>
    <row r="107" spans="1:8" ht="32" x14ac:dyDescent="0.2">
      <c r="C107" s="3" t="s">
        <v>1852</v>
      </c>
      <c r="D107" s="3" t="s">
        <v>274</v>
      </c>
      <c r="E107" s="6" t="s">
        <v>274</v>
      </c>
      <c r="F107" s="3" t="s">
        <v>1684</v>
      </c>
      <c r="G107" s="7" t="s">
        <v>1853</v>
      </c>
    </row>
    <row r="108" spans="1:8" ht="32" x14ac:dyDescent="0.2">
      <c r="C108" s="3" t="s">
        <v>1854</v>
      </c>
      <c r="D108" s="3" t="s">
        <v>274</v>
      </c>
      <c r="E108" s="6" t="s">
        <v>274</v>
      </c>
      <c r="F108" s="3" t="s">
        <v>1684</v>
      </c>
      <c r="G108" s="7" t="s">
        <v>1855</v>
      </c>
    </row>
    <row r="109" spans="1:8" ht="32" x14ac:dyDescent="0.2">
      <c r="C109" s="3" t="s">
        <v>1856</v>
      </c>
      <c r="D109" s="3" t="s">
        <v>274</v>
      </c>
      <c r="E109" s="6" t="s">
        <v>274</v>
      </c>
      <c r="F109" s="3" t="s">
        <v>1684</v>
      </c>
      <c r="G109" s="7" t="s">
        <v>1857</v>
      </c>
    </row>
    <row r="110" spans="1:8" ht="32" x14ac:dyDescent="0.2">
      <c r="C110" s="3" t="s">
        <v>1858</v>
      </c>
      <c r="D110" s="3" t="s">
        <v>274</v>
      </c>
      <c r="E110" s="6" t="s">
        <v>274</v>
      </c>
      <c r="F110" s="3" t="s">
        <v>1684</v>
      </c>
      <c r="G110" s="7" t="s">
        <v>1859</v>
      </c>
    </row>
    <row r="111" spans="1:8" ht="48" x14ac:dyDescent="0.2">
      <c r="C111" s="3" t="s">
        <v>1860</v>
      </c>
      <c r="D111" s="3" t="s">
        <v>274</v>
      </c>
      <c r="E111" s="6" t="s">
        <v>274</v>
      </c>
      <c r="F111" s="3" t="s">
        <v>1684</v>
      </c>
      <c r="G111" s="7" t="s">
        <v>1861</v>
      </c>
    </row>
    <row r="112" spans="1:8" ht="32" x14ac:dyDescent="0.2">
      <c r="C112" s="3" t="s">
        <v>1862</v>
      </c>
      <c r="D112" s="3" t="s">
        <v>274</v>
      </c>
      <c r="E112" s="6" t="s">
        <v>274</v>
      </c>
      <c r="F112" s="3" t="s">
        <v>1684</v>
      </c>
      <c r="G112" s="7" t="s">
        <v>1863</v>
      </c>
    </row>
    <row r="113" spans="1:8" ht="16" x14ac:dyDescent="0.2">
      <c r="C113" s="3" t="s">
        <v>1864</v>
      </c>
      <c r="D113" s="3" t="s">
        <v>274</v>
      </c>
      <c r="E113" s="6" t="s">
        <v>274</v>
      </c>
      <c r="F113" s="3" t="s">
        <v>1684</v>
      </c>
      <c r="G113" s="7" t="s">
        <v>1865</v>
      </c>
      <c r="H113" s="3" t="s">
        <v>1866</v>
      </c>
    </row>
    <row r="114" spans="1:8" ht="48" x14ac:dyDescent="0.2">
      <c r="C114" s="3" t="s">
        <v>1867</v>
      </c>
      <c r="D114" s="3" t="s">
        <v>274</v>
      </c>
      <c r="E114" s="6" t="s">
        <v>274</v>
      </c>
      <c r="F114" s="3" t="s">
        <v>1684</v>
      </c>
      <c r="G114" s="7" t="s">
        <v>1868</v>
      </c>
      <c r="H114" s="3" t="s">
        <v>1869</v>
      </c>
    </row>
    <row r="115" spans="1:8" ht="16" x14ac:dyDescent="0.2">
      <c r="C115" s="3" t="s">
        <v>1870</v>
      </c>
      <c r="D115" s="3" t="s">
        <v>274</v>
      </c>
      <c r="E115" s="6" t="s">
        <v>274</v>
      </c>
      <c r="F115" s="3" t="s">
        <v>1684</v>
      </c>
      <c r="G115" s="7" t="s">
        <v>1871</v>
      </c>
      <c r="H115" s="3" t="s">
        <v>1872</v>
      </c>
    </row>
    <row r="116" spans="1:8" x14ac:dyDescent="0.2">
      <c r="F116" s="3"/>
    </row>
    <row r="117" spans="1:8" x14ac:dyDescent="0.2">
      <c r="F117" s="3"/>
    </row>
    <row r="118" spans="1:8" x14ac:dyDescent="0.2">
      <c r="F118" s="3"/>
    </row>
    <row r="119" spans="1:8" x14ac:dyDescent="0.2">
      <c r="F119" s="3"/>
    </row>
    <row r="120" spans="1:8" x14ac:dyDescent="0.2">
      <c r="F120" s="3"/>
    </row>
    <row r="121" spans="1:8" ht="64" x14ac:dyDescent="0.2">
      <c r="A121" s="6" t="s">
        <v>1873</v>
      </c>
      <c r="F121" s="3"/>
      <c r="H121" s="3" t="s">
        <v>1874</v>
      </c>
    </row>
    <row r="122" spans="1:8" ht="32" x14ac:dyDescent="0.2">
      <c r="C122" s="3" t="s">
        <v>1875</v>
      </c>
      <c r="D122" s="3" t="s">
        <v>274</v>
      </c>
      <c r="E122" s="6" t="s">
        <v>274</v>
      </c>
      <c r="F122" s="3" t="s">
        <v>1684</v>
      </c>
      <c r="G122" s="7" t="s">
        <v>1876</v>
      </c>
      <c r="H122" s="3" t="s">
        <v>1877</v>
      </c>
    </row>
    <row r="123" spans="1:8" ht="48" x14ac:dyDescent="0.2">
      <c r="C123" s="3" t="s">
        <v>1878</v>
      </c>
      <c r="D123" s="3" t="s">
        <v>274</v>
      </c>
      <c r="E123" s="6" t="s">
        <v>274</v>
      </c>
      <c r="F123" s="3" t="s">
        <v>1879</v>
      </c>
      <c r="G123" s="7" t="s">
        <v>1880</v>
      </c>
      <c r="H123" s="3" t="s">
        <v>1881</v>
      </c>
    </row>
    <row r="124" spans="1:8" ht="64" x14ac:dyDescent="0.2">
      <c r="C124" s="3" t="s">
        <v>1882</v>
      </c>
      <c r="D124" s="3" t="s">
        <v>274</v>
      </c>
      <c r="E124" s="6" t="s">
        <v>274</v>
      </c>
      <c r="F124" s="3" t="s">
        <v>1684</v>
      </c>
      <c r="G124" s="7" t="s">
        <v>1883</v>
      </c>
      <c r="H124" s="3" t="s">
        <v>1884</v>
      </c>
    </row>
    <row r="125" spans="1:8" ht="80" x14ac:dyDescent="0.2">
      <c r="C125" s="3" t="s">
        <v>1885</v>
      </c>
      <c r="D125" s="3" t="s">
        <v>274</v>
      </c>
      <c r="E125" s="6" t="s">
        <v>274</v>
      </c>
      <c r="F125" s="3" t="s">
        <v>1684</v>
      </c>
      <c r="G125" s="7" t="s">
        <v>1886</v>
      </c>
      <c r="H125" s="3" t="s">
        <v>1887</v>
      </c>
    </row>
    <row r="126" spans="1:8" ht="48" x14ac:dyDescent="0.2">
      <c r="C126" s="3" t="s">
        <v>1888</v>
      </c>
      <c r="D126" s="3" t="s">
        <v>274</v>
      </c>
      <c r="E126" s="6" t="s">
        <v>274</v>
      </c>
      <c r="F126" s="3" t="s">
        <v>1684</v>
      </c>
      <c r="G126" s="7" t="s">
        <v>1889</v>
      </c>
      <c r="H126" s="3" t="s">
        <v>1890</v>
      </c>
    </row>
    <row r="127" spans="1:8" ht="32" x14ac:dyDescent="0.2">
      <c r="C127" s="3" t="s">
        <v>1891</v>
      </c>
      <c r="D127" s="3" t="s">
        <v>274</v>
      </c>
      <c r="E127" s="6" t="s">
        <v>274</v>
      </c>
      <c r="F127" s="3" t="s">
        <v>1684</v>
      </c>
      <c r="G127" s="7" t="s">
        <v>1892</v>
      </c>
      <c r="H127" s="3" t="s">
        <v>1893</v>
      </c>
    </row>
    <row r="128" spans="1:8" ht="80" x14ac:dyDescent="0.2">
      <c r="C128" s="3" t="s">
        <v>1894</v>
      </c>
      <c r="D128" s="3" t="s">
        <v>274</v>
      </c>
      <c r="E128" s="6" t="s">
        <v>274</v>
      </c>
      <c r="F128" s="3" t="s">
        <v>1684</v>
      </c>
      <c r="G128" s="7" t="s">
        <v>1895</v>
      </c>
      <c r="H128" s="3" t="s">
        <v>1896</v>
      </c>
    </row>
    <row r="129" spans="3:8" ht="48" x14ac:dyDescent="0.2">
      <c r="C129" s="3" t="s">
        <v>1897</v>
      </c>
      <c r="D129" s="3" t="s">
        <v>274</v>
      </c>
      <c r="E129" s="6" t="s">
        <v>274</v>
      </c>
      <c r="F129" s="3" t="s">
        <v>1684</v>
      </c>
      <c r="G129" s="7" t="s">
        <v>1898</v>
      </c>
      <c r="H129" s="3" t="s">
        <v>1899</v>
      </c>
    </row>
    <row r="130" spans="3:8" ht="64" x14ac:dyDescent="0.2">
      <c r="C130" s="3" t="s">
        <v>1900</v>
      </c>
      <c r="D130" s="3" t="s">
        <v>274</v>
      </c>
      <c r="E130" s="6" t="s">
        <v>274</v>
      </c>
      <c r="F130" s="3" t="s">
        <v>1684</v>
      </c>
      <c r="G130" s="7" t="s">
        <v>1901</v>
      </c>
      <c r="H130" s="3" t="s">
        <v>1902</v>
      </c>
    </row>
    <row r="131" spans="3:8" ht="96" x14ac:dyDescent="0.2">
      <c r="C131" s="3" t="s">
        <v>1903</v>
      </c>
      <c r="D131" s="3" t="s">
        <v>274</v>
      </c>
      <c r="E131" s="6" t="s">
        <v>274</v>
      </c>
      <c r="F131" s="3" t="s">
        <v>1684</v>
      </c>
      <c r="G131" s="7" t="s">
        <v>1904</v>
      </c>
      <c r="H131" s="3" t="s">
        <v>1905</v>
      </c>
    </row>
    <row r="132" spans="3:8" ht="64" x14ac:dyDescent="0.2">
      <c r="C132" s="3" t="s">
        <v>1906</v>
      </c>
      <c r="D132" s="3" t="s">
        <v>274</v>
      </c>
      <c r="E132" s="6" t="s">
        <v>274</v>
      </c>
      <c r="F132" s="3" t="s">
        <v>1684</v>
      </c>
      <c r="G132" s="7" t="s">
        <v>1907</v>
      </c>
      <c r="H132" s="3" t="s">
        <v>1908</v>
      </c>
    </row>
    <row r="133" spans="3:8" ht="96" x14ac:dyDescent="0.2">
      <c r="C133" s="3" t="s">
        <v>1909</v>
      </c>
      <c r="D133" s="3" t="s">
        <v>274</v>
      </c>
      <c r="E133" s="6" t="s">
        <v>274</v>
      </c>
      <c r="F133" s="3" t="s">
        <v>1684</v>
      </c>
      <c r="G133" s="7" t="s">
        <v>1910</v>
      </c>
      <c r="H133" s="3" t="s">
        <v>1911</v>
      </c>
    </row>
    <row r="134" spans="3:8" ht="32" x14ac:dyDescent="0.2">
      <c r="C134" s="3" t="s">
        <v>1912</v>
      </c>
      <c r="D134" s="3" t="s">
        <v>274</v>
      </c>
      <c r="E134" s="6" t="s">
        <v>274</v>
      </c>
      <c r="F134" s="3" t="s">
        <v>1684</v>
      </c>
      <c r="G134" s="7" t="s">
        <v>1913</v>
      </c>
      <c r="H134" s="3" t="s">
        <v>1914</v>
      </c>
    </row>
    <row r="135" spans="3:8" ht="32" x14ac:dyDescent="0.2">
      <c r="C135" s="3" t="s">
        <v>1915</v>
      </c>
      <c r="D135" s="3" t="s">
        <v>274</v>
      </c>
      <c r="E135" s="6" t="s">
        <v>274</v>
      </c>
      <c r="F135" s="3" t="s">
        <v>1684</v>
      </c>
      <c r="G135" s="7" t="s">
        <v>1916</v>
      </c>
      <c r="H135" s="3" t="s">
        <v>1917</v>
      </c>
    </row>
    <row r="136" spans="3:8" ht="32" x14ac:dyDescent="0.2">
      <c r="C136" s="3" t="s">
        <v>1918</v>
      </c>
      <c r="D136" s="3" t="s">
        <v>274</v>
      </c>
      <c r="E136" s="6" t="s">
        <v>274</v>
      </c>
      <c r="F136" s="3" t="s">
        <v>1684</v>
      </c>
      <c r="G136" s="7" t="s">
        <v>1919</v>
      </c>
      <c r="H136" s="3" t="s">
        <v>1920</v>
      </c>
    </row>
    <row r="137" spans="3:8" ht="48" x14ac:dyDescent="0.2">
      <c r="C137" s="3" t="s">
        <v>1921</v>
      </c>
      <c r="D137" s="3" t="s">
        <v>274</v>
      </c>
      <c r="E137" s="6" t="s">
        <v>274</v>
      </c>
      <c r="F137" s="3" t="s">
        <v>1684</v>
      </c>
      <c r="G137" s="7" t="s">
        <v>1922</v>
      </c>
      <c r="H137" s="3" t="s">
        <v>1923</v>
      </c>
    </row>
    <row r="138" spans="3:8" ht="32" x14ac:dyDescent="0.2">
      <c r="C138" s="3" t="s">
        <v>1924</v>
      </c>
      <c r="D138" s="3" t="s">
        <v>274</v>
      </c>
      <c r="E138" s="6" t="s">
        <v>274</v>
      </c>
      <c r="F138" s="3" t="s">
        <v>1684</v>
      </c>
      <c r="G138" s="7" t="s">
        <v>1925</v>
      </c>
      <c r="H138" s="3" t="s">
        <v>1926</v>
      </c>
    </row>
    <row r="139" spans="3:8" ht="32" x14ac:dyDescent="0.2">
      <c r="C139" s="3" t="s">
        <v>1927</v>
      </c>
      <c r="D139" s="3" t="s">
        <v>274</v>
      </c>
      <c r="E139" s="6" t="s">
        <v>274</v>
      </c>
      <c r="F139" s="3" t="s">
        <v>1684</v>
      </c>
      <c r="G139" s="7" t="s">
        <v>1928</v>
      </c>
      <c r="H139" s="3" t="s">
        <v>1929</v>
      </c>
    </row>
    <row r="140" spans="3:8" ht="48" x14ac:dyDescent="0.2">
      <c r="C140" s="3" t="s">
        <v>1930</v>
      </c>
      <c r="D140" s="3" t="s">
        <v>274</v>
      </c>
      <c r="E140" s="6" t="s">
        <v>274</v>
      </c>
      <c r="F140" s="3" t="s">
        <v>1684</v>
      </c>
      <c r="G140" s="7" t="s">
        <v>1931</v>
      </c>
      <c r="H140" s="3" t="s">
        <v>1929</v>
      </c>
    </row>
    <row r="141" spans="3:8" x14ac:dyDescent="0.2">
      <c r="F141" s="3"/>
    </row>
    <row r="142" spans="3:8" x14ac:dyDescent="0.2">
      <c r="F142" s="3"/>
    </row>
    <row r="143" spans="3:8" x14ac:dyDescent="0.2">
      <c r="F143" s="3"/>
    </row>
    <row r="144" spans="3:8" x14ac:dyDescent="0.2">
      <c r="F144" s="3"/>
    </row>
    <row r="145" spans="1:8" x14ac:dyDescent="0.2">
      <c r="A145" s="6" t="s">
        <v>1932</v>
      </c>
      <c r="F145" s="3"/>
    </row>
    <row r="146" spans="1:8" ht="64" x14ac:dyDescent="0.2">
      <c r="C146" s="3" t="s">
        <v>1933</v>
      </c>
      <c r="F146" s="3" t="s">
        <v>1684</v>
      </c>
      <c r="G146" s="7" t="s">
        <v>1934</v>
      </c>
      <c r="H146" s="3" t="s">
        <v>1935</v>
      </c>
    </row>
    <row r="147" spans="1:8" x14ac:dyDescent="0.2">
      <c r="F147" s="3"/>
    </row>
    <row r="148" spans="1:8" x14ac:dyDescent="0.2">
      <c r="F148" s="3"/>
    </row>
    <row r="149" spans="1:8" ht="14.25" customHeight="1" x14ac:dyDescent="0.2"/>
    <row r="150" spans="1:8" x14ac:dyDescent="0.2">
      <c r="A150" s="6" t="s">
        <v>1936</v>
      </c>
    </row>
    <row r="151" spans="1:8" x14ac:dyDescent="0.2">
      <c r="A151" s="6" t="s">
        <v>1937</v>
      </c>
    </row>
    <row r="152" spans="1:8" ht="14.25" customHeight="1" x14ac:dyDescent="0.2">
      <c r="A152" s="6" t="s">
        <v>1938</v>
      </c>
    </row>
    <row r="153" spans="1:8" ht="32" x14ac:dyDescent="0.2">
      <c r="C153" s="3" t="s">
        <v>1939</v>
      </c>
      <c r="D153" s="3" t="s">
        <v>274</v>
      </c>
      <c r="E153" s="6" t="s">
        <v>274</v>
      </c>
      <c r="F153" s="3" t="s">
        <v>1684</v>
      </c>
      <c r="G153" s="7" t="s">
        <v>1940</v>
      </c>
    </row>
    <row r="154" spans="1:8" ht="32" x14ac:dyDescent="0.2">
      <c r="C154" s="3" t="s">
        <v>1941</v>
      </c>
      <c r="D154" s="3" t="s">
        <v>274</v>
      </c>
      <c r="E154" s="6" t="s">
        <v>274</v>
      </c>
      <c r="F154" s="3" t="s">
        <v>1684</v>
      </c>
      <c r="G154" s="7" t="s">
        <v>1942</v>
      </c>
    </row>
    <row r="155" spans="1:8" ht="48" x14ac:dyDescent="0.2">
      <c r="C155" s="3" t="s">
        <v>1943</v>
      </c>
      <c r="D155" s="3" t="s">
        <v>174</v>
      </c>
      <c r="E155" s="6" t="s">
        <v>174</v>
      </c>
      <c r="F155" s="3" t="s">
        <v>1944</v>
      </c>
      <c r="G155" s="7" t="s">
        <v>1945</v>
      </c>
    </row>
    <row r="156" spans="1:8" ht="48" x14ac:dyDescent="0.2">
      <c r="C156" s="3" t="s">
        <v>1946</v>
      </c>
      <c r="D156" s="3" t="s">
        <v>174</v>
      </c>
      <c r="E156" s="6" t="s">
        <v>174</v>
      </c>
      <c r="F156" s="3" t="s">
        <v>1944</v>
      </c>
      <c r="G156" s="7" t="s">
        <v>1947</v>
      </c>
    </row>
    <row r="157" spans="1:8" ht="48" x14ac:dyDescent="0.2">
      <c r="C157" s="3" t="s">
        <v>1948</v>
      </c>
      <c r="D157" s="3" t="s">
        <v>174</v>
      </c>
      <c r="E157" s="6" t="s">
        <v>174</v>
      </c>
      <c r="F157" s="3" t="s">
        <v>1944</v>
      </c>
      <c r="G157" s="7" t="s">
        <v>1949</v>
      </c>
    </row>
    <row r="158" spans="1:8" ht="48" x14ac:dyDescent="0.2">
      <c r="C158" s="3" t="s">
        <v>1950</v>
      </c>
      <c r="D158" s="3" t="s">
        <v>174</v>
      </c>
      <c r="E158" s="6" t="s">
        <v>174</v>
      </c>
      <c r="F158" s="3" t="s">
        <v>1944</v>
      </c>
      <c r="G158" s="7" t="s">
        <v>1951</v>
      </c>
    </row>
    <row r="159" spans="1:8" ht="48" x14ac:dyDescent="0.2">
      <c r="C159" s="3" t="s">
        <v>1952</v>
      </c>
      <c r="D159" s="3" t="s">
        <v>174</v>
      </c>
      <c r="E159" s="6" t="s">
        <v>174</v>
      </c>
      <c r="F159" s="3" t="s">
        <v>1944</v>
      </c>
      <c r="G159" s="7" t="s">
        <v>1953</v>
      </c>
    </row>
    <row r="160" spans="1:8" ht="48" x14ac:dyDescent="0.2">
      <c r="C160" s="3" t="s">
        <v>1954</v>
      </c>
      <c r="D160" s="3" t="s">
        <v>174</v>
      </c>
      <c r="E160" s="6" t="s">
        <v>174</v>
      </c>
      <c r="F160" s="3" t="s">
        <v>1944</v>
      </c>
      <c r="G160" s="7" t="s">
        <v>1955</v>
      </c>
    </row>
    <row r="161" spans="3:6" x14ac:dyDescent="0.2">
      <c r="F161" s="3"/>
    </row>
    <row r="162" spans="3:6" ht="32" x14ac:dyDescent="0.2">
      <c r="C162" s="3" t="s">
        <v>1956</v>
      </c>
      <c r="D162" s="3" t="s">
        <v>274</v>
      </c>
      <c r="E162" s="6" t="s">
        <v>274</v>
      </c>
      <c r="F162" s="3" t="s">
        <v>1754</v>
      </c>
    </row>
    <row r="163" spans="3:6" ht="32" x14ac:dyDescent="0.2">
      <c r="C163" s="3" t="s">
        <v>1957</v>
      </c>
      <c r="D163" s="3" t="s">
        <v>274</v>
      </c>
      <c r="E163" s="6" t="s">
        <v>274</v>
      </c>
      <c r="F163" s="3" t="s">
        <v>1754</v>
      </c>
    </row>
    <row r="164" spans="3:6" ht="32" x14ac:dyDescent="0.2">
      <c r="C164" s="3" t="s">
        <v>1958</v>
      </c>
      <c r="D164" s="3" t="s">
        <v>274</v>
      </c>
      <c r="E164" s="6" t="s">
        <v>274</v>
      </c>
      <c r="F164" s="3" t="s">
        <v>1754</v>
      </c>
    </row>
    <row r="165" spans="3:6" ht="32" x14ac:dyDescent="0.2">
      <c r="C165" s="3" t="s">
        <v>1959</v>
      </c>
      <c r="D165" s="3" t="s">
        <v>274</v>
      </c>
      <c r="E165" s="6" t="s">
        <v>274</v>
      </c>
      <c r="F165" s="3" t="s">
        <v>1754</v>
      </c>
    </row>
    <row r="166" spans="3:6" ht="32" x14ac:dyDescent="0.2">
      <c r="C166" s="3" t="s">
        <v>1960</v>
      </c>
      <c r="D166" s="3" t="s">
        <v>274</v>
      </c>
      <c r="E166" s="6" t="s">
        <v>274</v>
      </c>
      <c r="F166" s="3" t="s">
        <v>1754</v>
      </c>
    </row>
    <row r="167" spans="3:6" ht="32" x14ac:dyDescent="0.2">
      <c r="C167" s="3" t="s">
        <v>1961</v>
      </c>
      <c r="D167" s="3" t="s">
        <v>274</v>
      </c>
      <c r="E167" s="6" t="s">
        <v>274</v>
      </c>
      <c r="F167" s="3" t="s">
        <v>1754</v>
      </c>
    </row>
    <row r="168" spans="3:6" ht="32" x14ac:dyDescent="0.2">
      <c r="C168" s="3" t="s">
        <v>1962</v>
      </c>
      <c r="D168" s="3" t="s">
        <v>274</v>
      </c>
      <c r="E168" s="6" t="s">
        <v>274</v>
      </c>
      <c r="F168" s="3" t="s">
        <v>1754</v>
      </c>
    </row>
    <row r="169" spans="3:6" ht="32" x14ac:dyDescent="0.2">
      <c r="C169" s="3" t="s">
        <v>1963</v>
      </c>
      <c r="D169" s="3" t="s">
        <v>274</v>
      </c>
      <c r="E169" s="6" t="s">
        <v>274</v>
      </c>
      <c r="F169" s="3" t="s">
        <v>1754</v>
      </c>
    </row>
    <row r="170" spans="3:6" ht="32" x14ac:dyDescent="0.2">
      <c r="C170" s="3" t="s">
        <v>1964</v>
      </c>
      <c r="D170" s="3" t="s">
        <v>274</v>
      </c>
      <c r="E170" s="6" t="s">
        <v>274</v>
      </c>
      <c r="F170" s="3" t="s">
        <v>1754</v>
      </c>
    </row>
    <row r="171" spans="3:6" ht="32" x14ac:dyDescent="0.2">
      <c r="C171" s="3" t="s">
        <v>1965</v>
      </c>
      <c r="D171" s="3" t="s">
        <v>274</v>
      </c>
      <c r="E171" s="6" t="s">
        <v>274</v>
      </c>
      <c r="F171" s="3" t="s">
        <v>1754</v>
      </c>
    </row>
    <row r="172" spans="3:6" ht="32" x14ac:dyDescent="0.2">
      <c r="C172" s="3" t="s">
        <v>1966</v>
      </c>
      <c r="D172" s="3" t="s">
        <v>274</v>
      </c>
      <c r="E172" s="6" t="s">
        <v>274</v>
      </c>
      <c r="F172" s="3" t="s">
        <v>1754</v>
      </c>
    </row>
    <row r="173" spans="3:6" ht="32" x14ac:dyDescent="0.2">
      <c r="C173" s="3" t="s">
        <v>1967</v>
      </c>
      <c r="D173" s="3" t="s">
        <v>274</v>
      </c>
      <c r="E173" s="6" t="s">
        <v>274</v>
      </c>
      <c r="F173" s="3" t="s">
        <v>1754</v>
      </c>
    </row>
    <row r="174" spans="3:6" ht="32" x14ac:dyDescent="0.2">
      <c r="C174" s="3" t="s">
        <v>1968</v>
      </c>
      <c r="D174" s="3" t="s">
        <v>274</v>
      </c>
      <c r="E174" s="6" t="s">
        <v>274</v>
      </c>
      <c r="F174" s="3" t="s">
        <v>1754</v>
      </c>
    </row>
    <row r="175" spans="3:6" ht="32" x14ac:dyDescent="0.2">
      <c r="C175" s="3" t="s">
        <v>1969</v>
      </c>
      <c r="D175" s="3" t="s">
        <v>274</v>
      </c>
      <c r="E175" s="6" t="s">
        <v>274</v>
      </c>
      <c r="F175" s="3" t="s">
        <v>1754</v>
      </c>
    </row>
    <row r="176" spans="3:6" ht="32" x14ac:dyDescent="0.2">
      <c r="C176" s="3" t="s">
        <v>1970</v>
      </c>
      <c r="D176" s="3" t="s">
        <v>274</v>
      </c>
      <c r="E176" s="6" t="s">
        <v>274</v>
      </c>
      <c r="F176" s="3" t="s">
        <v>1754</v>
      </c>
    </row>
    <row r="177" spans="1:8" ht="32" x14ac:dyDescent="0.2">
      <c r="C177" s="3" t="s">
        <v>1971</v>
      </c>
      <c r="D177" s="3" t="s">
        <v>274</v>
      </c>
      <c r="E177" s="6" t="s">
        <v>274</v>
      </c>
      <c r="F177" s="3" t="s">
        <v>1754</v>
      </c>
    </row>
    <row r="178" spans="1:8" ht="32" x14ac:dyDescent="0.2">
      <c r="C178" s="3" t="s">
        <v>1972</v>
      </c>
      <c r="D178" s="3" t="s">
        <v>274</v>
      </c>
      <c r="E178" s="6" t="s">
        <v>274</v>
      </c>
      <c r="F178" s="3" t="s">
        <v>1754</v>
      </c>
    </row>
    <row r="180" spans="1:8" s="6" customFormat="1" ht="32" x14ac:dyDescent="0.2">
      <c r="A180" s="6" t="s">
        <v>1973</v>
      </c>
      <c r="H180" s="3" t="s">
        <v>1974</v>
      </c>
    </row>
    <row r="181" spans="1:8" ht="48" x14ac:dyDescent="0.2">
      <c r="C181" s="3" t="s">
        <v>1975</v>
      </c>
      <c r="D181" s="3" t="s">
        <v>174</v>
      </c>
      <c r="E181" s="6" t="s">
        <v>174</v>
      </c>
      <c r="F181" s="3" t="s">
        <v>1684</v>
      </c>
      <c r="G181" s="7" t="s">
        <v>1976</v>
      </c>
      <c r="H181" s="3" t="s">
        <v>1977</v>
      </c>
    </row>
    <row r="182" spans="1:8" ht="48" x14ac:dyDescent="0.2">
      <c r="C182" s="3" t="s">
        <v>1978</v>
      </c>
      <c r="D182" s="3" t="s">
        <v>174</v>
      </c>
      <c r="E182" s="6" t="s">
        <v>174</v>
      </c>
      <c r="F182" s="3" t="s">
        <v>1684</v>
      </c>
      <c r="G182" s="7" t="s">
        <v>1979</v>
      </c>
      <c r="H182" s="3" t="s">
        <v>1977</v>
      </c>
    </row>
    <row r="183" spans="1:8" ht="48" x14ac:dyDescent="0.2">
      <c r="C183" s="3" t="s">
        <v>1980</v>
      </c>
      <c r="D183" s="3" t="s">
        <v>174</v>
      </c>
      <c r="E183" s="6" t="s">
        <v>174</v>
      </c>
      <c r="F183" s="3" t="s">
        <v>1684</v>
      </c>
      <c r="G183" s="7" t="s">
        <v>1981</v>
      </c>
      <c r="H183" s="3" t="s">
        <v>1977</v>
      </c>
    </row>
    <row r="185" spans="1:8" x14ac:dyDescent="0.2">
      <c r="A185" s="6" t="s">
        <v>1982</v>
      </c>
    </row>
  </sheetData>
  <mergeCells count="12">
    <mergeCell ref="A12:H12"/>
    <mergeCell ref="A13:H13"/>
    <mergeCell ref="A7:H7"/>
    <mergeCell ref="A8:H8"/>
    <mergeCell ref="A9:H9"/>
    <mergeCell ref="A10:H10"/>
    <mergeCell ref="A11:H11"/>
    <mergeCell ref="A1:H1"/>
    <mergeCell ref="A2:H2"/>
    <mergeCell ref="C3:H3"/>
    <mergeCell ref="A5:H5"/>
    <mergeCell ref="A6:H6"/>
  </mergeCells>
  <pageMargins left="0.7" right="0.7" top="0.75" bottom="0.75" header="0.51180555555555496" footer="0.51180555555555496"/>
  <pageSetup firstPageNumber="0"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G25"/>
  <sheetViews>
    <sheetView topLeftCell="A9" zoomScaleNormal="100" workbookViewId="0">
      <selection activeCell="A3" sqref="A3"/>
    </sheetView>
  </sheetViews>
  <sheetFormatPr baseColWidth="10" defaultColWidth="8.83203125" defaultRowHeight="15" x14ac:dyDescent="0.2"/>
  <cols>
    <col min="1" max="1" width="21.33203125" customWidth="1"/>
    <col min="2" max="2" width="35.33203125" customWidth="1"/>
    <col min="3" max="3" width="8.5" customWidth="1"/>
    <col min="4" max="4" width="18.33203125" customWidth="1"/>
    <col min="5" max="5" width="33.1640625" style="27" customWidth="1"/>
    <col min="6" max="6" width="48.6640625" customWidth="1"/>
    <col min="7" max="1025" width="8.5" customWidth="1"/>
  </cols>
  <sheetData>
    <row r="1" spans="1:7" ht="24" x14ac:dyDescent="0.3">
      <c r="A1" s="28" t="s">
        <v>1983</v>
      </c>
      <c r="E1" s="93"/>
    </row>
    <row r="2" spans="1:7" x14ac:dyDescent="0.2">
      <c r="A2" t="s">
        <v>1984</v>
      </c>
      <c r="E2" s="93"/>
    </row>
    <row r="3" spans="1:7" s="6" customFormat="1" x14ac:dyDescent="0.2">
      <c r="A3" s="6" t="s">
        <v>30</v>
      </c>
      <c r="E3" s="3"/>
    </row>
    <row r="4" spans="1:7" s="6" customFormat="1" ht="17.5" customHeight="1" x14ac:dyDescent="0.2">
      <c r="A4" s="128" t="s">
        <v>1985</v>
      </c>
      <c r="B4" s="128"/>
      <c r="C4" s="128"/>
      <c r="D4" s="128"/>
      <c r="E4" s="128"/>
      <c r="F4" s="128"/>
    </row>
    <row r="5" spans="1:7" s="6" customFormat="1" x14ac:dyDescent="0.2">
      <c r="A5" s="120" t="s">
        <v>1986</v>
      </c>
      <c r="B5" s="120"/>
      <c r="C5" s="120"/>
      <c r="D5" s="120"/>
      <c r="E5" s="120"/>
      <c r="F5" s="120"/>
    </row>
    <row r="7" spans="1:7" s="33" customFormat="1" ht="22" x14ac:dyDescent="0.25">
      <c r="A7" s="29" t="s">
        <v>1987</v>
      </c>
      <c r="B7" s="30" t="s">
        <v>40</v>
      </c>
      <c r="C7" s="29" t="s">
        <v>41</v>
      </c>
      <c r="D7" s="30" t="s">
        <v>42</v>
      </c>
      <c r="E7" s="31" t="s">
        <v>43</v>
      </c>
      <c r="F7" s="30" t="s">
        <v>30</v>
      </c>
      <c r="G7" s="32"/>
    </row>
    <row r="9" spans="1:7" s="6" customFormat="1" ht="64" x14ac:dyDescent="0.2">
      <c r="A9" s="6" t="s">
        <v>1988</v>
      </c>
      <c r="B9" s="6" t="s">
        <v>1989</v>
      </c>
      <c r="C9" s="6" t="s">
        <v>1990</v>
      </c>
      <c r="D9" s="3" t="s">
        <v>1991</v>
      </c>
      <c r="E9" s="3" t="s">
        <v>1992</v>
      </c>
      <c r="F9" s="3" t="s">
        <v>1993</v>
      </c>
    </row>
    <row r="12" spans="1:7" ht="14.5" customHeight="1" x14ac:dyDescent="0.2">
      <c r="A12" s="136" t="s">
        <v>1994</v>
      </c>
      <c r="B12" s="137"/>
      <c r="C12" s="138"/>
      <c r="D12" s="138"/>
      <c r="E12" s="138"/>
      <c r="F12" s="138" t="s">
        <v>1995</v>
      </c>
    </row>
    <row r="13" spans="1:7" x14ac:dyDescent="0.2">
      <c r="A13" s="136"/>
      <c r="B13" s="137"/>
      <c r="C13" s="138"/>
      <c r="D13" s="138"/>
      <c r="E13" s="138"/>
      <c r="F13" s="138"/>
    </row>
    <row r="14" spans="1:7" ht="14.5" customHeight="1" x14ac:dyDescent="0.2">
      <c r="A14" s="128"/>
      <c r="B14" s="138" t="s">
        <v>1996</v>
      </c>
      <c r="C14" s="138" t="s">
        <v>46</v>
      </c>
      <c r="D14" s="128"/>
      <c r="E14" s="138" t="s">
        <v>1997</v>
      </c>
      <c r="F14" s="138"/>
    </row>
    <row r="15" spans="1:7" ht="35.5" customHeight="1" x14ac:dyDescent="0.2">
      <c r="A15" s="128"/>
      <c r="B15" s="138"/>
      <c r="C15" s="138"/>
      <c r="D15" s="128"/>
      <c r="E15" s="138"/>
      <c r="F15" s="138"/>
    </row>
    <row r="16" spans="1:7" ht="14.5" customHeight="1" x14ac:dyDescent="0.2">
      <c r="A16" s="128"/>
      <c r="B16" s="138" t="s">
        <v>1998</v>
      </c>
      <c r="C16" s="138" t="s">
        <v>46</v>
      </c>
      <c r="D16" s="138"/>
      <c r="E16" s="138" t="s">
        <v>1999</v>
      </c>
      <c r="F16" s="138"/>
    </row>
    <row r="17" spans="1:6" ht="35" customHeight="1" x14ac:dyDescent="0.2">
      <c r="A17" s="128"/>
      <c r="B17" s="138"/>
      <c r="C17" s="138"/>
      <c r="D17" s="138"/>
      <c r="E17" s="138"/>
      <c r="F17" s="138"/>
    </row>
    <row r="18" spans="1:6" ht="14.5" customHeight="1" x14ac:dyDescent="0.2">
      <c r="A18" s="128"/>
      <c r="B18" s="138" t="s">
        <v>2000</v>
      </c>
      <c r="C18" s="138" t="s">
        <v>46</v>
      </c>
      <c r="D18" s="138"/>
      <c r="E18" s="138" t="s">
        <v>2001</v>
      </c>
      <c r="F18" s="138"/>
    </row>
    <row r="19" spans="1:6" ht="41" customHeight="1" x14ac:dyDescent="0.2">
      <c r="A19" s="128"/>
      <c r="B19" s="138"/>
      <c r="C19" s="138"/>
      <c r="D19" s="138"/>
      <c r="E19" s="138"/>
      <c r="F19" s="138"/>
    </row>
    <row r="20" spans="1:6" ht="14.5" customHeight="1" x14ac:dyDescent="0.2">
      <c r="A20" s="128"/>
      <c r="B20" s="138" t="s">
        <v>2002</v>
      </c>
      <c r="C20" s="138" t="s">
        <v>46</v>
      </c>
      <c r="D20" s="138"/>
      <c r="E20" s="138" t="s">
        <v>2003</v>
      </c>
      <c r="F20" s="138"/>
    </row>
    <row r="21" spans="1:6" ht="35" customHeight="1" x14ac:dyDescent="0.2">
      <c r="A21" s="128"/>
      <c r="B21" s="138"/>
      <c r="C21" s="138"/>
      <c r="D21" s="138"/>
      <c r="E21" s="138"/>
      <c r="F21" s="138"/>
    </row>
    <row r="22" spans="1:6" ht="14.5" customHeight="1" x14ac:dyDescent="0.2">
      <c r="A22" s="128"/>
      <c r="B22" s="138" t="s">
        <v>2004</v>
      </c>
      <c r="C22" s="138" t="s">
        <v>52</v>
      </c>
      <c r="D22" s="138" t="s">
        <v>2005</v>
      </c>
      <c r="E22" s="138" t="s">
        <v>2006</v>
      </c>
      <c r="F22" s="138" t="s">
        <v>2007</v>
      </c>
    </row>
    <row r="23" spans="1:6" x14ac:dyDescent="0.2">
      <c r="A23" s="139"/>
      <c r="B23" s="139"/>
      <c r="C23" s="139"/>
      <c r="D23" s="139"/>
      <c r="E23" s="140"/>
      <c r="F23" s="139"/>
    </row>
    <row r="24" spans="1:6" x14ac:dyDescent="0.2">
      <c r="A24" s="139"/>
      <c r="B24" s="139"/>
      <c r="C24" s="139"/>
      <c r="D24" s="139"/>
      <c r="E24" s="140"/>
      <c r="F24" s="139"/>
    </row>
    <row r="25" spans="1:6" x14ac:dyDescent="0.2">
      <c r="A25" s="139"/>
      <c r="B25" s="139"/>
      <c r="C25" s="139"/>
      <c r="D25" s="139"/>
      <c r="E25" s="140"/>
      <c r="F25" s="139"/>
    </row>
  </sheetData>
  <mergeCells count="38">
    <mergeCell ref="F22:F25"/>
    <mergeCell ref="A22:A25"/>
    <mergeCell ref="B22:B25"/>
    <mergeCell ref="C22:C25"/>
    <mergeCell ref="D22:D25"/>
    <mergeCell ref="E22:E25"/>
    <mergeCell ref="F18:F19"/>
    <mergeCell ref="A20:A21"/>
    <mergeCell ref="B20:B21"/>
    <mergeCell ref="C20:C21"/>
    <mergeCell ref="D20:D21"/>
    <mergeCell ref="E20:E21"/>
    <mergeCell ref="F20:F21"/>
    <mergeCell ref="A18:A19"/>
    <mergeCell ref="B18:B19"/>
    <mergeCell ref="C18:C19"/>
    <mergeCell ref="D18:D19"/>
    <mergeCell ref="E18:E19"/>
    <mergeCell ref="F14:F15"/>
    <mergeCell ref="A16:A17"/>
    <mergeCell ref="B16:B17"/>
    <mergeCell ref="C16:C17"/>
    <mergeCell ref="D16:D17"/>
    <mergeCell ref="E16:E17"/>
    <mergeCell ref="F16:F17"/>
    <mergeCell ref="A14:A15"/>
    <mergeCell ref="B14:B15"/>
    <mergeCell ref="C14:C15"/>
    <mergeCell ref="D14:D15"/>
    <mergeCell ref="E14:E15"/>
    <mergeCell ref="A4:F4"/>
    <mergeCell ref="A5:F5"/>
    <mergeCell ref="A12:A13"/>
    <mergeCell ref="B12:B13"/>
    <mergeCell ref="C12:C13"/>
    <mergeCell ref="D12:D13"/>
    <mergeCell ref="E12:E13"/>
    <mergeCell ref="F12:F13"/>
  </mergeCells>
  <pageMargins left="0.7" right="0.7" top="0.75" bottom="0.75" header="0.51180555555555496" footer="0.51180555555555496"/>
  <pageSetup firstPageNumber="0"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35"/>
  <sheetViews>
    <sheetView topLeftCell="A13" zoomScaleNormal="100" workbookViewId="0">
      <selection activeCell="A2" sqref="A2:C2"/>
    </sheetView>
  </sheetViews>
  <sheetFormatPr baseColWidth="10" defaultColWidth="8.83203125" defaultRowHeight="15" x14ac:dyDescent="0.2"/>
  <cols>
    <col min="1" max="1" width="22.1640625" customWidth="1"/>
    <col min="2" max="2" width="24.33203125" customWidth="1"/>
    <col min="3" max="3" width="42.5" customWidth="1"/>
    <col min="4" max="1025" width="8.5" customWidth="1"/>
  </cols>
  <sheetData>
    <row r="1" spans="1:3" x14ac:dyDescent="0.2">
      <c r="A1" t="s">
        <v>2008</v>
      </c>
    </row>
    <row r="2" spans="1:3" x14ac:dyDescent="0.2">
      <c r="A2" s="141" t="s">
        <v>2009</v>
      </c>
      <c r="B2" s="142"/>
      <c r="C2" s="142"/>
    </row>
    <row r="3" spans="1:3" x14ac:dyDescent="0.2">
      <c r="A3" t="s">
        <v>2010</v>
      </c>
    </row>
    <row r="4" spans="1:3" x14ac:dyDescent="0.2">
      <c r="A4" t="s">
        <v>2011</v>
      </c>
    </row>
    <row r="5" spans="1:3" ht="24" customHeight="1" x14ac:dyDescent="0.2">
      <c r="A5" s="143" t="s">
        <v>2012</v>
      </c>
      <c r="B5" s="143"/>
      <c r="C5" s="143"/>
    </row>
    <row r="6" spans="1:3" ht="16" x14ac:dyDescent="0.2">
      <c r="A6" s="34"/>
      <c r="B6" s="34"/>
      <c r="C6" s="35"/>
    </row>
    <row r="7" spans="1:3" ht="17" x14ac:dyDescent="0.2">
      <c r="A7" s="34" t="s">
        <v>2013</v>
      </c>
      <c r="B7" s="34" t="s">
        <v>2014</v>
      </c>
      <c r="C7" s="35" t="s">
        <v>2015</v>
      </c>
    </row>
    <row r="8" spans="1:3" ht="16.25" customHeight="1" x14ac:dyDescent="0.2">
      <c r="A8" s="36" t="s">
        <v>2016</v>
      </c>
      <c r="B8" s="37">
        <v>9</v>
      </c>
      <c r="C8" s="36" t="s">
        <v>2017</v>
      </c>
    </row>
    <row r="9" spans="1:3" ht="16.25" customHeight="1" x14ac:dyDescent="0.2">
      <c r="A9" s="36" t="s">
        <v>2018</v>
      </c>
      <c r="B9" s="37">
        <v>10</v>
      </c>
      <c r="C9" s="36" t="s">
        <v>2019</v>
      </c>
    </row>
    <row r="10" spans="1:3" ht="16.25" customHeight="1" x14ac:dyDescent="0.2">
      <c r="A10" s="36" t="s">
        <v>2020</v>
      </c>
      <c r="B10" s="37">
        <v>11</v>
      </c>
      <c r="C10" s="36" t="s">
        <v>2021</v>
      </c>
    </row>
    <row r="11" spans="1:3" ht="16.25" customHeight="1" x14ac:dyDescent="0.2">
      <c r="A11" s="36" t="s">
        <v>2022</v>
      </c>
      <c r="B11" s="37">
        <v>13</v>
      </c>
      <c r="C11" s="36" t="s">
        <v>2023</v>
      </c>
    </row>
    <row r="12" spans="1:3" ht="16.25" customHeight="1" x14ac:dyDescent="0.2">
      <c r="A12" s="36" t="s">
        <v>2024</v>
      </c>
      <c r="B12" s="37">
        <v>12</v>
      </c>
      <c r="C12" s="36" t="s">
        <v>2025</v>
      </c>
    </row>
    <row r="13" spans="1:3" ht="16.25" customHeight="1" x14ac:dyDescent="0.2">
      <c r="A13" s="36" t="s">
        <v>2026</v>
      </c>
      <c r="B13" s="37">
        <v>14</v>
      </c>
      <c r="C13" s="36" t="s">
        <v>2017</v>
      </c>
    </row>
    <row r="14" spans="1:3" ht="16.25" customHeight="1" x14ac:dyDescent="0.2">
      <c r="A14" s="36" t="s">
        <v>2027</v>
      </c>
      <c r="B14" s="37">
        <v>15</v>
      </c>
      <c r="C14" s="36" t="s">
        <v>2028</v>
      </c>
    </row>
    <row r="15" spans="1:3" ht="16.25" customHeight="1" x14ac:dyDescent="0.2">
      <c r="A15" s="36" t="s">
        <v>2029</v>
      </c>
      <c r="B15" s="37">
        <v>16</v>
      </c>
      <c r="C15" s="36" t="s">
        <v>2030</v>
      </c>
    </row>
    <row r="16" spans="1:3" ht="16.25" customHeight="1" x14ac:dyDescent="0.2">
      <c r="A16" s="36" t="s">
        <v>2031</v>
      </c>
      <c r="B16" s="37">
        <v>17</v>
      </c>
      <c r="C16" s="36" t="s">
        <v>2032</v>
      </c>
    </row>
    <row r="17" spans="1:3" ht="16.25" customHeight="1" x14ac:dyDescent="0.2">
      <c r="A17" s="36" t="s">
        <v>2033</v>
      </c>
      <c r="B17" s="37">
        <v>18</v>
      </c>
      <c r="C17" s="36" t="s">
        <v>2034</v>
      </c>
    </row>
    <row r="18" spans="1:3" ht="16.25" customHeight="1" x14ac:dyDescent="0.2">
      <c r="A18" s="36" t="s">
        <v>2035</v>
      </c>
      <c r="B18" s="37">
        <v>7</v>
      </c>
      <c r="C18" s="36" t="s">
        <v>2036</v>
      </c>
    </row>
    <row r="19" spans="1:3" ht="16.25" customHeight="1" x14ac:dyDescent="0.2">
      <c r="A19" s="36" t="s">
        <v>2037</v>
      </c>
      <c r="B19" s="37">
        <v>8</v>
      </c>
      <c r="C19" s="36" t="s">
        <v>2038</v>
      </c>
    </row>
    <row r="20" spans="1:3" ht="16.25" customHeight="1" x14ac:dyDescent="0.2">
      <c r="A20" s="36" t="s">
        <v>2039</v>
      </c>
      <c r="B20" s="37">
        <v>1</v>
      </c>
      <c r="C20" s="36" t="s">
        <v>2040</v>
      </c>
    </row>
    <row r="21" spans="1:3" ht="16.25" customHeight="1" x14ac:dyDescent="0.2">
      <c r="A21" s="36" t="s">
        <v>2041</v>
      </c>
      <c r="B21" s="37">
        <v>2</v>
      </c>
      <c r="C21" s="36" t="s">
        <v>2042</v>
      </c>
    </row>
    <row r="22" spans="1:3" ht="16.25" customHeight="1" x14ac:dyDescent="0.2">
      <c r="A22" s="36" t="s">
        <v>2043</v>
      </c>
      <c r="B22" s="37">
        <v>3</v>
      </c>
      <c r="C22" s="36" t="s">
        <v>2044</v>
      </c>
    </row>
    <row r="23" spans="1:3" ht="16.25" customHeight="1" x14ac:dyDescent="0.2">
      <c r="A23" s="36" t="s">
        <v>2045</v>
      </c>
      <c r="B23" s="37">
        <v>31</v>
      </c>
      <c r="C23" s="36" t="s">
        <v>2046</v>
      </c>
    </row>
    <row r="24" spans="1:3" ht="16.25" customHeight="1" x14ac:dyDescent="0.2">
      <c r="A24" s="36" t="s">
        <v>2047</v>
      </c>
      <c r="B24" s="37">
        <v>28</v>
      </c>
      <c r="C24" s="36" t="s">
        <v>2048</v>
      </c>
    </row>
    <row r="25" spans="1:3" ht="16.25" customHeight="1" x14ac:dyDescent="0.2">
      <c r="A25" s="36" t="s">
        <v>2049</v>
      </c>
      <c r="B25" s="37">
        <v>29</v>
      </c>
      <c r="C25" s="36" t="s">
        <v>2050</v>
      </c>
    </row>
    <row r="26" spans="1:3" ht="16.25" customHeight="1" x14ac:dyDescent="0.2">
      <c r="A26" s="36" t="s">
        <v>2051</v>
      </c>
      <c r="B26" s="37">
        <v>30</v>
      </c>
      <c r="C26" s="36" t="s">
        <v>2044</v>
      </c>
    </row>
    <row r="27" spans="1:3" ht="16.25" customHeight="1" x14ac:dyDescent="0.2">
      <c r="A27" s="36" t="s">
        <v>2052</v>
      </c>
      <c r="B27" s="37">
        <v>24</v>
      </c>
      <c r="C27" s="36" t="s">
        <v>2053</v>
      </c>
    </row>
    <row r="28" spans="1:3" ht="16.25" customHeight="1" x14ac:dyDescent="0.2">
      <c r="A28" s="36" t="s">
        <v>2054</v>
      </c>
      <c r="B28" s="37">
        <v>25</v>
      </c>
      <c r="C28" s="36" t="s">
        <v>2055</v>
      </c>
    </row>
    <row r="29" spans="1:3" ht="16.25" customHeight="1" x14ac:dyDescent="0.2">
      <c r="A29" s="36" t="s">
        <v>2056</v>
      </c>
      <c r="B29" s="37">
        <v>22</v>
      </c>
      <c r="C29" s="36" t="s">
        <v>2057</v>
      </c>
    </row>
    <row r="30" spans="1:3" ht="16.25" customHeight="1" x14ac:dyDescent="0.2">
      <c r="A30" s="36" t="s">
        <v>2058</v>
      </c>
      <c r="B30" s="37">
        <v>23</v>
      </c>
      <c r="C30" s="36" t="s">
        <v>2059</v>
      </c>
    </row>
    <row r="31" spans="1:3" ht="16.25" customHeight="1" x14ac:dyDescent="0.2">
      <c r="A31" s="36" t="s">
        <v>2060</v>
      </c>
      <c r="B31" s="37">
        <v>26</v>
      </c>
      <c r="C31" s="36" t="s">
        <v>2061</v>
      </c>
    </row>
    <row r="32" spans="1:3" ht="16.25" customHeight="1" x14ac:dyDescent="0.2">
      <c r="A32" s="36" t="s">
        <v>2062</v>
      </c>
      <c r="B32" s="37">
        <v>27</v>
      </c>
      <c r="C32" s="36" t="s">
        <v>2063</v>
      </c>
    </row>
    <row r="33" spans="1:3" ht="16.25" customHeight="1" x14ac:dyDescent="0.2">
      <c r="A33" s="36" t="s">
        <v>2064</v>
      </c>
      <c r="B33" s="37">
        <v>4</v>
      </c>
      <c r="C33" s="36" t="s">
        <v>2065</v>
      </c>
    </row>
    <row r="34" spans="1:3" ht="16.25" customHeight="1" x14ac:dyDescent="0.2">
      <c r="A34" s="36" t="s">
        <v>2066</v>
      </c>
      <c r="B34" s="37">
        <v>5</v>
      </c>
      <c r="C34" s="36" t="s">
        <v>2067</v>
      </c>
    </row>
    <row r="35" spans="1:3" ht="16.25" customHeight="1" x14ac:dyDescent="0.2">
      <c r="A35" s="36" t="s">
        <v>2068</v>
      </c>
      <c r="B35" s="37">
        <v>6</v>
      </c>
      <c r="C35" s="36" t="s">
        <v>2069</v>
      </c>
    </row>
  </sheetData>
  <mergeCells count="2">
    <mergeCell ref="A2:C2"/>
    <mergeCell ref="A5:C5"/>
  </mergeCells>
  <pageMargins left="0.7" right="0.7" top="0.75" bottom="0.75" header="0.51180555555555496" footer="0.51180555555555496"/>
  <pageSetup firstPageNumber="0"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C85AD-A819-40CA-87E6-07C238DED3E4}">
  <dimension ref="A1:G103"/>
  <sheetViews>
    <sheetView topLeftCell="A2" workbookViewId="0">
      <selection activeCell="D104" sqref="D104"/>
    </sheetView>
  </sheetViews>
  <sheetFormatPr baseColWidth="10" defaultColWidth="8.83203125" defaultRowHeight="15" x14ac:dyDescent="0.2"/>
  <cols>
    <col min="1" max="1" width="24.33203125" customWidth="1"/>
    <col min="2" max="2" width="42.6640625" customWidth="1"/>
    <col min="3" max="3" width="15.5" customWidth="1"/>
    <col min="4" max="4" width="39" customWidth="1"/>
    <col min="5" max="5" width="63" customWidth="1"/>
    <col min="6" max="6" width="88.6640625" customWidth="1"/>
    <col min="7" max="7" width="45.5" customWidth="1"/>
  </cols>
  <sheetData>
    <row r="1" spans="1:7" x14ac:dyDescent="0.2">
      <c r="A1" s="144" t="s">
        <v>2070</v>
      </c>
      <c r="B1" s="144"/>
      <c r="C1" s="144"/>
      <c r="D1" s="144"/>
      <c r="E1" s="144"/>
      <c r="F1" s="144"/>
      <c r="G1" s="144"/>
    </row>
    <row r="2" spans="1:7" ht="32" x14ac:dyDescent="0.2">
      <c r="A2" s="38" t="s">
        <v>1686</v>
      </c>
      <c r="B2" s="38" t="s">
        <v>40</v>
      </c>
      <c r="C2" s="39" t="s">
        <v>669</v>
      </c>
      <c r="D2" s="39" t="s">
        <v>2071</v>
      </c>
      <c r="E2" s="38" t="s">
        <v>671</v>
      </c>
      <c r="F2" s="39" t="s">
        <v>30</v>
      </c>
      <c r="G2" s="40" t="s">
        <v>2072</v>
      </c>
    </row>
    <row r="3" spans="1:7" ht="32" x14ac:dyDescent="0.2">
      <c r="A3" s="93" t="s">
        <v>2073</v>
      </c>
      <c r="D3" s="93"/>
      <c r="F3" s="93" t="s">
        <v>2074</v>
      </c>
    </row>
    <row r="4" spans="1:7" ht="48" x14ac:dyDescent="0.2">
      <c r="B4" t="s">
        <v>2075</v>
      </c>
      <c r="C4" t="s">
        <v>174</v>
      </c>
      <c r="D4" s="94" t="s">
        <v>2076</v>
      </c>
      <c r="E4" t="s">
        <v>1562</v>
      </c>
      <c r="F4" s="41" t="s">
        <v>2077</v>
      </c>
      <c r="G4">
        <v>1</v>
      </c>
    </row>
    <row r="5" spans="1:7" ht="48" x14ac:dyDescent="0.2">
      <c r="B5" t="s">
        <v>2078</v>
      </c>
      <c r="C5" t="s">
        <v>174</v>
      </c>
      <c r="D5" s="93" t="s">
        <v>2079</v>
      </c>
      <c r="E5" t="s">
        <v>2080</v>
      </c>
      <c r="F5" s="93" t="s">
        <v>2081</v>
      </c>
      <c r="G5">
        <v>1</v>
      </c>
    </row>
    <row r="6" spans="1:7" ht="96" x14ac:dyDescent="0.2">
      <c r="B6" t="s">
        <v>2082</v>
      </c>
      <c r="C6" t="s">
        <v>174</v>
      </c>
      <c r="D6" s="94" t="s">
        <v>2083</v>
      </c>
      <c r="E6" t="s">
        <v>2084</v>
      </c>
      <c r="F6" s="93" t="s">
        <v>2085</v>
      </c>
      <c r="G6" s="93" t="s">
        <v>2086</v>
      </c>
    </row>
    <row r="7" spans="1:7" x14ac:dyDescent="0.2">
      <c r="A7" t="s">
        <v>2087</v>
      </c>
      <c r="D7" s="93"/>
      <c r="F7" s="93"/>
    </row>
    <row r="8" spans="1:7" ht="409.6" x14ac:dyDescent="0.2">
      <c r="B8" t="s">
        <v>2088</v>
      </c>
      <c r="C8" t="s">
        <v>174</v>
      </c>
      <c r="D8" s="94" t="s">
        <v>2089</v>
      </c>
      <c r="E8" t="s">
        <v>1562</v>
      </c>
      <c r="F8" s="93" t="s">
        <v>2090</v>
      </c>
      <c r="G8">
        <v>1</v>
      </c>
    </row>
    <row r="9" spans="1:7" x14ac:dyDescent="0.2">
      <c r="B9" t="s">
        <v>2091</v>
      </c>
      <c r="C9" t="s">
        <v>274</v>
      </c>
      <c r="D9" s="140" t="s">
        <v>2079</v>
      </c>
      <c r="E9" t="s">
        <v>2092</v>
      </c>
      <c r="F9" s="93"/>
      <c r="G9">
        <v>1</v>
      </c>
    </row>
    <row r="10" spans="1:7" x14ac:dyDescent="0.2">
      <c r="B10" t="s">
        <v>2093</v>
      </c>
      <c r="C10" t="s">
        <v>274</v>
      </c>
      <c r="D10" s="140"/>
      <c r="E10" t="s">
        <v>2094</v>
      </c>
      <c r="F10" s="93"/>
      <c r="G10">
        <v>1</v>
      </c>
    </row>
    <row r="11" spans="1:7" x14ac:dyDescent="0.2">
      <c r="B11" t="s">
        <v>2095</v>
      </c>
      <c r="C11" t="s">
        <v>274</v>
      </c>
      <c r="D11" s="140"/>
      <c r="E11" t="s">
        <v>2096</v>
      </c>
      <c r="F11" s="93"/>
      <c r="G11">
        <v>1</v>
      </c>
    </row>
    <row r="12" spans="1:7" x14ac:dyDescent="0.2">
      <c r="B12" t="s">
        <v>2097</v>
      </c>
      <c r="C12" t="s">
        <v>274</v>
      </c>
      <c r="D12" s="140"/>
      <c r="E12" t="s">
        <v>2098</v>
      </c>
      <c r="F12" s="93"/>
      <c r="G12">
        <v>1</v>
      </c>
    </row>
    <row r="13" spans="1:7" x14ac:dyDescent="0.2">
      <c r="B13" t="s">
        <v>2099</v>
      </c>
      <c r="C13" t="s">
        <v>274</v>
      </c>
      <c r="D13" s="140"/>
      <c r="E13" t="s">
        <v>2100</v>
      </c>
      <c r="F13" s="93"/>
      <c r="G13">
        <v>1</v>
      </c>
    </row>
    <row r="14" spans="1:7" x14ac:dyDescent="0.2">
      <c r="B14" t="s">
        <v>2101</v>
      </c>
      <c r="C14" t="s">
        <v>274</v>
      </c>
      <c r="D14" s="140"/>
      <c r="E14" t="s">
        <v>2102</v>
      </c>
      <c r="F14" s="93"/>
      <c r="G14">
        <v>1</v>
      </c>
    </row>
    <row r="15" spans="1:7" x14ac:dyDescent="0.2">
      <c r="B15" t="s">
        <v>2103</v>
      </c>
      <c r="C15" t="s">
        <v>274</v>
      </c>
      <c r="D15" s="140"/>
      <c r="E15" t="s">
        <v>2104</v>
      </c>
      <c r="F15" s="93"/>
      <c r="G15">
        <v>1</v>
      </c>
    </row>
    <row r="16" spans="1:7" x14ac:dyDescent="0.2">
      <c r="B16" t="s">
        <v>2105</v>
      </c>
      <c r="C16" t="s">
        <v>274</v>
      </c>
      <c r="D16" s="140"/>
      <c r="E16" t="s">
        <v>2106</v>
      </c>
      <c r="F16" s="93"/>
      <c r="G16">
        <v>1</v>
      </c>
    </row>
    <row r="17" spans="1:7" x14ac:dyDescent="0.2">
      <c r="B17" t="s">
        <v>2107</v>
      </c>
      <c r="C17" t="s">
        <v>274</v>
      </c>
      <c r="D17" s="140"/>
      <c r="E17" t="s">
        <v>2108</v>
      </c>
      <c r="F17" s="93"/>
      <c r="G17">
        <v>1</v>
      </c>
    </row>
    <row r="18" spans="1:7" x14ac:dyDescent="0.2">
      <c r="B18" t="s">
        <v>2109</v>
      </c>
      <c r="C18" t="s">
        <v>274</v>
      </c>
      <c r="D18" s="140"/>
      <c r="E18" t="s">
        <v>2110</v>
      </c>
      <c r="F18" s="93"/>
      <c r="G18">
        <v>1</v>
      </c>
    </row>
    <row r="19" spans="1:7" x14ac:dyDescent="0.2">
      <c r="B19" t="s">
        <v>2111</v>
      </c>
      <c r="C19" t="s">
        <v>274</v>
      </c>
      <c r="D19" s="140"/>
      <c r="E19" t="s">
        <v>2112</v>
      </c>
      <c r="F19" s="93"/>
      <c r="G19">
        <v>1</v>
      </c>
    </row>
    <row r="20" spans="1:7" x14ac:dyDescent="0.2">
      <c r="B20" t="s">
        <v>2113</v>
      </c>
      <c r="C20" t="s">
        <v>274</v>
      </c>
      <c r="D20" s="140"/>
      <c r="E20" t="s">
        <v>2114</v>
      </c>
      <c r="F20" s="93"/>
      <c r="G20">
        <v>1</v>
      </c>
    </row>
    <row r="21" spans="1:7" x14ac:dyDescent="0.2">
      <c r="B21" t="s">
        <v>2115</v>
      </c>
      <c r="C21" t="s">
        <v>274</v>
      </c>
      <c r="D21" s="140"/>
      <c r="E21" t="s">
        <v>2116</v>
      </c>
      <c r="F21" s="93"/>
      <c r="G21">
        <v>1</v>
      </c>
    </row>
    <row r="22" spans="1:7" x14ac:dyDescent="0.2">
      <c r="B22" t="s">
        <v>2117</v>
      </c>
      <c r="C22" t="s">
        <v>274</v>
      </c>
      <c r="D22" s="140"/>
      <c r="E22" t="s">
        <v>2118</v>
      </c>
      <c r="F22" s="93"/>
      <c r="G22">
        <v>1</v>
      </c>
    </row>
    <row r="23" spans="1:7" x14ac:dyDescent="0.2">
      <c r="B23" t="s">
        <v>2119</v>
      </c>
      <c r="C23" t="s">
        <v>274</v>
      </c>
      <c r="D23" s="140"/>
      <c r="E23" t="s">
        <v>2120</v>
      </c>
      <c r="F23" s="93"/>
      <c r="G23">
        <v>1</v>
      </c>
    </row>
    <row r="24" spans="1:7" x14ac:dyDescent="0.2">
      <c r="B24" t="s">
        <v>2121</v>
      </c>
      <c r="C24" t="s">
        <v>274</v>
      </c>
      <c r="D24" s="140"/>
      <c r="E24" t="s">
        <v>2122</v>
      </c>
      <c r="F24" s="93"/>
      <c r="G24">
        <v>1</v>
      </c>
    </row>
    <row r="25" spans="1:7" x14ac:dyDescent="0.2">
      <c r="B25" t="s">
        <v>2123</v>
      </c>
      <c r="C25" t="s">
        <v>274</v>
      </c>
      <c r="D25" s="140"/>
      <c r="E25" t="s">
        <v>2124</v>
      </c>
      <c r="F25" s="93"/>
      <c r="G25">
        <v>1</v>
      </c>
    </row>
    <row r="26" spans="1:7" x14ac:dyDescent="0.2">
      <c r="B26" t="s">
        <v>2125</v>
      </c>
      <c r="C26" t="s">
        <v>274</v>
      </c>
      <c r="D26" s="140"/>
      <c r="E26" t="s">
        <v>2126</v>
      </c>
      <c r="F26" s="93"/>
      <c r="G26">
        <v>1</v>
      </c>
    </row>
    <row r="27" spans="1:7" x14ac:dyDescent="0.2">
      <c r="B27" t="s">
        <v>2127</v>
      </c>
      <c r="C27" t="s">
        <v>274</v>
      </c>
      <c r="D27" s="140"/>
      <c r="E27" t="s">
        <v>2128</v>
      </c>
      <c r="F27" s="93"/>
      <c r="G27">
        <v>1</v>
      </c>
    </row>
    <row r="28" spans="1:7" x14ac:dyDescent="0.2">
      <c r="B28" t="s">
        <v>2129</v>
      </c>
      <c r="C28" t="s">
        <v>274</v>
      </c>
      <c r="D28" s="140"/>
      <c r="F28" s="93"/>
      <c r="G28">
        <v>1</v>
      </c>
    </row>
    <row r="29" spans="1:7" x14ac:dyDescent="0.2">
      <c r="B29" t="s">
        <v>2130</v>
      </c>
      <c r="C29" t="s">
        <v>274</v>
      </c>
      <c r="D29" s="140"/>
      <c r="F29" s="93"/>
      <c r="G29">
        <v>1</v>
      </c>
    </row>
    <row r="30" spans="1:7" x14ac:dyDescent="0.2">
      <c r="A30" t="s">
        <v>2131</v>
      </c>
      <c r="D30" s="93"/>
      <c r="F30" s="93"/>
    </row>
    <row r="31" spans="1:7" ht="192" x14ac:dyDescent="0.2">
      <c r="B31" t="s">
        <v>2131</v>
      </c>
      <c r="C31" t="s">
        <v>174</v>
      </c>
      <c r="D31" s="94" t="s">
        <v>2132</v>
      </c>
      <c r="E31" t="s">
        <v>2133</v>
      </c>
      <c r="F31" s="93" t="s">
        <v>2134</v>
      </c>
      <c r="G31" s="93" t="s">
        <v>2135</v>
      </c>
    </row>
    <row r="33" spans="1:7" x14ac:dyDescent="0.2">
      <c r="A33" s="144" t="s">
        <v>2136</v>
      </c>
      <c r="B33" s="144"/>
      <c r="C33" s="144"/>
      <c r="D33" s="144"/>
      <c r="E33" s="144"/>
      <c r="F33" s="144"/>
      <c r="G33" s="144"/>
    </row>
    <row r="34" spans="1:7" ht="32" x14ac:dyDescent="0.2">
      <c r="A34" s="38" t="s">
        <v>1686</v>
      </c>
      <c r="B34" s="38" t="s">
        <v>40</v>
      </c>
      <c r="C34" s="39" t="s">
        <v>669</v>
      </c>
      <c r="D34" s="39" t="s">
        <v>2071</v>
      </c>
      <c r="E34" s="38" t="s">
        <v>671</v>
      </c>
      <c r="F34" s="39" t="s">
        <v>30</v>
      </c>
      <c r="G34" s="40" t="s">
        <v>2072</v>
      </c>
    </row>
    <row r="35" spans="1:7" ht="32" x14ac:dyDescent="0.2">
      <c r="A35" s="93" t="s">
        <v>2073</v>
      </c>
      <c r="D35" s="93"/>
      <c r="F35" s="93" t="s">
        <v>2074</v>
      </c>
    </row>
    <row r="36" spans="1:7" ht="48" x14ac:dyDescent="0.2">
      <c r="B36" t="s">
        <v>2075</v>
      </c>
      <c r="C36" t="s">
        <v>174</v>
      </c>
      <c r="D36" s="94" t="s">
        <v>2137</v>
      </c>
      <c r="E36" t="s">
        <v>1562</v>
      </c>
      <c r="F36" s="41" t="s">
        <v>2077</v>
      </c>
      <c r="G36">
        <v>1</v>
      </c>
    </row>
    <row r="37" spans="1:7" ht="32" x14ac:dyDescent="0.2">
      <c r="B37" t="s">
        <v>2078</v>
      </c>
      <c r="C37" t="s">
        <v>174</v>
      </c>
      <c r="D37" s="93" t="s">
        <v>2079</v>
      </c>
      <c r="E37" t="s">
        <v>2080</v>
      </c>
      <c r="F37" s="93" t="s">
        <v>2138</v>
      </c>
      <c r="G37">
        <v>1</v>
      </c>
    </row>
    <row r="38" spans="1:7" ht="96" x14ac:dyDescent="0.2">
      <c r="B38" t="s">
        <v>2082</v>
      </c>
      <c r="C38" t="s">
        <v>174</v>
      </c>
      <c r="D38" s="94" t="s">
        <v>2083</v>
      </c>
      <c r="E38" t="s">
        <v>2084</v>
      </c>
      <c r="F38" s="93" t="s">
        <v>2085</v>
      </c>
      <c r="G38" s="93" t="s">
        <v>2086</v>
      </c>
    </row>
    <row r="39" spans="1:7" x14ac:dyDescent="0.2">
      <c r="A39" t="s">
        <v>2087</v>
      </c>
      <c r="D39" s="93"/>
      <c r="F39" s="93"/>
    </row>
    <row r="40" spans="1:7" ht="409.6" x14ac:dyDescent="0.2">
      <c r="B40" t="s">
        <v>2088</v>
      </c>
      <c r="C40" t="s">
        <v>174</v>
      </c>
      <c r="D40" s="94" t="s">
        <v>2139</v>
      </c>
      <c r="E40" t="s">
        <v>1562</v>
      </c>
      <c r="F40" s="93" t="s">
        <v>2090</v>
      </c>
      <c r="G40">
        <v>1</v>
      </c>
    </row>
    <row r="41" spans="1:7" ht="192" x14ac:dyDescent="0.2">
      <c r="B41" t="s">
        <v>2140</v>
      </c>
      <c r="C41" t="s">
        <v>174</v>
      </c>
      <c r="D41" s="93" t="s">
        <v>2141</v>
      </c>
      <c r="E41" t="s">
        <v>1562</v>
      </c>
      <c r="F41" s="93" t="s">
        <v>2142</v>
      </c>
      <c r="G41" t="s">
        <v>2143</v>
      </c>
    </row>
    <row r="42" spans="1:7" x14ac:dyDescent="0.2">
      <c r="B42" t="s">
        <v>2091</v>
      </c>
      <c r="C42" t="s">
        <v>274</v>
      </c>
      <c r="D42" s="140" t="s">
        <v>2079</v>
      </c>
      <c r="E42" t="s">
        <v>2092</v>
      </c>
      <c r="F42" s="93"/>
      <c r="G42">
        <v>1</v>
      </c>
    </row>
    <row r="43" spans="1:7" x14ac:dyDescent="0.2">
      <c r="B43" t="s">
        <v>2093</v>
      </c>
      <c r="C43" t="s">
        <v>274</v>
      </c>
      <c r="D43" s="140"/>
      <c r="E43" t="s">
        <v>2094</v>
      </c>
      <c r="F43" s="93"/>
      <c r="G43">
        <v>1</v>
      </c>
    </row>
    <row r="44" spans="1:7" x14ac:dyDescent="0.2">
      <c r="B44" t="s">
        <v>2095</v>
      </c>
      <c r="C44" t="s">
        <v>274</v>
      </c>
      <c r="D44" s="140"/>
      <c r="E44" t="s">
        <v>2096</v>
      </c>
      <c r="F44" s="93"/>
      <c r="G44">
        <v>1</v>
      </c>
    </row>
    <row r="45" spans="1:7" x14ac:dyDescent="0.2">
      <c r="B45" t="s">
        <v>2097</v>
      </c>
      <c r="C45" t="s">
        <v>274</v>
      </c>
      <c r="D45" s="140"/>
      <c r="E45" t="s">
        <v>2098</v>
      </c>
      <c r="F45" s="93"/>
      <c r="G45">
        <v>1</v>
      </c>
    </row>
    <row r="46" spans="1:7" x14ac:dyDescent="0.2">
      <c r="B46" t="s">
        <v>2099</v>
      </c>
      <c r="C46" t="s">
        <v>274</v>
      </c>
      <c r="D46" s="140"/>
      <c r="E46" t="s">
        <v>2100</v>
      </c>
      <c r="F46" s="93"/>
      <c r="G46">
        <v>1</v>
      </c>
    </row>
    <row r="47" spans="1:7" x14ac:dyDescent="0.2">
      <c r="B47" t="s">
        <v>2101</v>
      </c>
      <c r="C47" t="s">
        <v>274</v>
      </c>
      <c r="D47" s="140"/>
      <c r="E47" t="s">
        <v>2102</v>
      </c>
      <c r="F47" s="93"/>
      <c r="G47">
        <v>1</v>
      </c>
    </row>
    <row r="48" spans="1:7" x14ac:dyDescent="0.2">
      <c r="B48" t="s">
        <v>2103</v>
      </c>
      <c r="C48" t="s">
        <v>274</v>
      </c>
      <c r="D48" s="140"/>
      <c r="E48" t="s">
        <v>2104</v>
      </c>
      <c r="F48" s="93"/>
      <c r="G48">
        <v>1</v>
      </c>
    </row>
    <row r="49" spans="1:7" x14ac:dyDescent="0.2">
      <c r="B49" t="s">
        <v>2105</v>
      </c>
      <c r="C49" t="s">
        <v>274</v>
      </c>
      <c r="D49" s="140"/>
      <c r="E49" t="s">
        <v>2106</v>
      </c>
      <c r="F49" s="93"/>
      <c r="G49">
        <v>1</v>
      </c>
    </row>
    <row r="50" spans="1:7" x14ac:dyDescent="0.2">
      <c r="B50" t="s">
        <v>2107</v>
      </c>
      <c r="C50" t="s">
        <v>274</v>
      </c>
      <c r="D50" s="140"/>
      <c r="E50" t="s">
        <v>2108</v>
      </c>
      <c r="F50" s="93"/>
      <c r="G50">
        <v>1</v>
      </c>
    </row>
    <row r="51" spans="1:7" x14ac:dyDescent="0.2">
      <c r="B51" t="s">
        <v>2109</v>
      </c>
      <c r="C51" t="s">
        <v>274</v>
      </c>
      <c r="D51" s="140"/>
      <c r="E51" t="s">
        <v>2110</v>
      </c>
      <c r="F51" s="93"/>
      <c r="G51">
        <v>1</v>
      </c>
    </row>
    <row r="52" spans="1:7" x14ac:dyDescent="0.2">
      <c r="B52" t="s">
        <v>2111</v>
      </c>
      <c r="C52" t="s">
        <v>274</v>
      </c>
      <c r="D52" s="140"/>
      <c r="E52" t="s">
        <v>2112</v>
      </c>
      <c r="F52" s="93"/>
      <c r="G52">
        <v>1</v>
      </c>
    </row>
    <row r="53" spans="1:7" x14ac:dyDescent="0.2">
      <c r="B53" t="s">
        <v>2113</v>
      </c>
      <c r="C53" t="s">
        <v>274</v>
      </c>
      <c r="D53" s="140"/>
      <c r="E53" t="s">
        <v>2114</v>
      </c>
      <c r="F53" s="93"/>
      <c r="G53">
        <v>1</v>
      </c>
    </row>
    <row r="54" spans="1:7" x14ac:dyDescent="0.2">
      <c r="B54" t="s">
        <v>2115</v>
      </c>
      <c r="C54" t="s">
        <v>274</v>
      </c>
      <c r="D54" s="140"/>
      <c r="E54" t="s">
        <v>2116</v>
      </c>
      <c r="F54" s="93"/>
      <c r="G54">
        <v>1</v>
      </c>
    </row>
    <row r="55" spans="1:7" x14ac:dyDescent="0.2">
      <c r="B55" t="s">
        <v>2117</v>
      </c>
      <c r="C55" t="s">
        <v>274</v>
      </c>
      <c r="D55" s="140"/>
      <c r="E55" t="s">
        <v>2118</v>
      </c>
      <c r="F55" s="93"/>
      <c r="G55">
        <v>1</v>
      </c>
    </row>
    <row r="56" spans="1:7" x14ac:dyDescent="0.2">
      <c r="B56" t="s">
        <v>2119</v>
      </c>
      <c r="C56" t="s">
        <v>274</v>
      </c>
      <c r="D56" s="140"/>
      <c r="E56" t="s">
        <v>2120</v>
      </c>
      <c r="F56" s="93"/>
      <c r="G56">
        <v>1</v>
      </c>
    </row>
    <row r="57" spans="1:7" x14ac:dyDescent="0.2">
      <c r="B57" t="s">
        <v>2121</v>
      </c>
      <c r="C57" t="s">
        <v>274</v>
      </c>
      <c r="D57" s="140"/>
      <c r="E57" t="s">
        <v>2122</v>
      </c>
      <c r="F57" s="93"/>
      <c r="G57">
        <v>1</v>
      </c>
    </row>
    <row r="58" spans="1:7" x14ac:dyDescent="0.2">
      <c r="B58" t="s">
        <v>2123</v>
      </c>
      <c r="C58" t="s">
        <v>274</v>
      </c>
      <c r="D58" s="140"/>
      <c r="E58" t="s">
        <v>2124</v>
      </c>
      <c r="F58" s="93"/>
      <c r="G58">
        <v>1</v>
      </c>
    </row>
    <row r="59" spans="1:7" x14ac:dyDescent="0.2">
      <c r="B59" t="s">
        <v>2125</v>
      </c>
      <c r="C59" t="s">
        <v>274</v>
      </c>
      <c r="D59" s="140"/>
      <c r="E59" t="s">
        <v>2126</v>
      </c>
      <c r="F59" s="93"/>
      <c r="G59">
        <v>1</v>
      </c>
    </row>
    <row r="60" spans="1:7" x14ac:dyDescent="0.2">
      <c r="B60" t="s">
        <v>2127</v>
      </c>
      <c r="C60" t="s">
        <v>274</v>
      </c>
      <c r="D60" s="140"/>
      <c r="E60" t="s">
        <v>2128</v>
      </c>
      <c r="F60" s="93"/>
      <c r="G60">
        <v>1</v>
      </c>
    </row>
    <row r="61" spans="1:7" x14ac:dyDescent="0.2">
      <c r="B61" t="s">
        <v>2129</v>
      </c>
      <c r="C61" t="s">
        <v>274</v>
      </c>
      <c r="D61" s="140"/>
      <c r="E61" t="s">
        <v>2144</v>
      </c>
      <c r="F61" s="93"/>
      <c r="G61">
        <v>1</v>
      </c>
    </row>
    <row r="62" spans="1:7" x14ac:dyDescent="0.2">
      <c r="B62" t="s">
        <v>2130</v>
      </c>
      <c r="C62" t="s">
        <v>274</v>
      </c>
      <c r="D62" s="140"/>
      <c r="E62" t="s">
        <v>2145</v>
      </c>
      <c r="F62" s="93"/>
      <c r="G62">
        <v>1</v>
      </c>
    </row>
    <row r="63" spans="1:7" x14ac:dyDescent="0.2">
      <c r="A63" t="s">
        <v>2131</v>
      </c>
      <c r="D63" s="93"/>
      <c r="F63" s="93"/>
    </row>
    <row r="64" spans="1:7" ht="192" x14ac:dyDescent="0.2">
      <c r="B64" t="s">
        <v>2131</v>
      </c>
      <c r="C64" t="s">
        <v>174</v>
      </c>
      <c r="D64" s="94" t="s">
        <v>2132</v>
      </c>
      <c r="E64" t="s">
        <v>2133</v>
      </c>
      <c r="F64" s="93" t="s">
        <v>2146</v>
      </c>
      <c r="G64" s="93" t="s">
        <v>2147</v>
      </c>
    </row>
    <row r="65" spans="2:7" x14ac:dyDescent="0.2">
      <c r="B65" t="s">
        <v>2148</v>
      </c>
      <c r="C65" t="s">
        <v>274</v>
      </c>
      <c r="D65" s="145" t="s">
        <v>2149</v>
      </c>
      <c r="E65" t="s">
        <v>2150</v>
      </c>
      <c r="F65" s="93"/>
      <c r="G65" t="s">
        <v>2151</v>
      </c>
    </row>
    <row r="66" spans="2:7" x14ac:dyDescent="0.2">
      <c r="B66" t="s">
        <v>2152</v>
      </c>
      <c r="C66" t="s">
        <v>274</v>
      </c>
      <c r="D66" s="145"/>
      <c r="E66" t="s">
        <v>2153</v>
      </c>
      <c r="F66" s="93"/>
      <c r="G66" t="s">
        <v>2151</v>
      </c>
    </row>
    <row r="67" spans="2:7" x14ac:dyDescent="0.2">
      <c r="B67" t="s">
        <v>2154</v>
      </c>
      <c r="C67" t="s">
        <v>274</v>
      </c>
      <c r="D67" s="145"/>
      <c r="F67" s="93"/>
      <c r="G67" t="s">
        <v>2151</v>
      </c>
    </row>
    <row r="68" spans="2:7" x14ac:dyDescent="0.2">
      <c r="B68" t="s">
        <v>2155</v>
      </c>
      <c r="C68" t="s">
        <v>274</v>
      </c>
      <c r="D68" s="145"/>
      <c r="E68" s="139" t="s">
        <v>2156</v>
      </c>
      <c r="F68" s="93"/>
      <c r="G68" t="s">
        <v>2151</v>
      </c>
    </row>
    <row r="69" spans="2:7" x14ac:dyDescent="0.2">
      <c r="B69" t="s">
        <v>2157</v>
      </c>
      <c r="C69" t="s">
        <v>274</v>
      </c>
      <c r="D69" s="145"/>
      <c r="E69" s="139"/>
      <c r="F69" s="93"/>
      <c r="G69" t="s">
        <v>2151</v>
      </c>
    </row>
    <row r="70" spans="2:7" x14ac:dyDescent="0.2">
      <c r="B70" t="s">
        <v>2158</v>
      </c>
      <c r="C70" t="s">
        <v>274</v>
      </c>
      <c r="D70" s="145"/>
      <c r="E70" s="139"/>
      <c r="F70" s="93"/>
      <c r="G70" t="s">
        <v>2151</v>
      </c>
    </row>
    <row r="71" spans="2:7" x14ac:dyDescent="0.2">
      <c r="B71" t="s">
        <v>2159</v>
      </c>
      <c r="C71" t="s">
        <v>274</v>
      </c>
      <c r="D71" s="145"/>
      <c r="E71" t="s">
        <v>2160</v>
      </c>
      <c r="F71" s="93"/>
      <c r="G71" t="s">
        <v>2151</v>
      </c>
    </row>
    <row r="72" spans="2:7" x14ac:dyDescent="0.2">
      <c r="B72" t="s">
        <v>2161</v>
      </c>
      <c r="C72" t="s">
        <v>274</v>
      </c>
      <c r="D72" s="145"/>
      <c r="E72" t="s">
        <v>2162</v>
      </c>
      <c r="F72" s="93"/>
      <c r="G72" t="s">
        <v>2151</v>
      </c>
    </row>
    <row r="73" spans="2:7" x14ac:dyDescent="0.2">
      <c r="B73" t="s">
        <v>2163</v>
      </c>
      <c r="C73" t="s">
        <v>274</v>
      </c>
      <c r="D73" s="145"/>
      <c r="E73" s="139" t="s">
        <v>2164</v>
      </c>
      <c r="F73" s="93"/>
      <c r="G73" t="s">
        <v>2151</v>
      </c>
    </row>
    <row r="74" spans="2:7" x14ac:dyDescent="0.2">
      <c r="B74" t="s">
        <v>2165</v>
      </c>
      <c r="C74" t="s">
        <v>274</v>
      </c>
      <c r="D74" s="145"/>
      <c r="E74" s="139"/>
      <c r="F74" s="93"/>
      <c r="G74" t="s">
        <v>2151</v>
      </c>
    </row>
    <row r="75" spans="2:7" x14ac:dyDescent="0.2">
      <c r="B75" t="s">
        <v>2166</v>
      </c>
      <c r="C75" t="s">
        <v>274</v>
      </c>
      <c r="D75" s="145"/>
      <c r="E75" s="139" t="s">
        <v>2164</v>
      </c>
      <c r="F75" s="93"/>
      <c r="G75" t="s">
        <v>2151</v>
      </c>
    </row>
    <row r="76" spans="2:7" x14ac:dyDescent="0.2">
      <c r="B76" t="s">
        <v>2167</v>
      </c>
      <c r="C76" t="s">
        <v>274</v>
      </c>
      <c r="D76" s="145"/>
      <c r="E76" s="139"/>
      <c r="F76" s="93"/>
      <c r="G76" t="s">
        <v>2151</v>
      </c>
    </row>
    <row r="77" spans="2:7" x14ac:dyDescent="0.2">
      <c r="B77" t="s">
        <v>2168</v>
      </c>
      <c r="C77" t="s">
        <v>274</v>
      </c>
      <c r="D77" s="145"/>
      <c r="E77" s="139" t="s">
        <v>2169</v>
      </c>
      <c r="F77" s="93"/>
      <c r="G77" t="s">
        <v>2151</v>
      </c>
    </row>
    <row r="78" spans="2:7" x14ac:dyDescent="0.2">
      <c r="B78" t="s">
        <v>2170</v>
      </c>
      <c r="C78" t="s">
        <v>274</v>
      </c>
      <c r="D78" s="145"/>
      <c r="E78" s="139"/>
      <c r="F78" s="93"/>
      <c r="G78" t="s">
        <v>2151</v>
      </c>
    </row>
    <row r="79" spans="2:7" x14ac:dyDescent="0.2">
      <c r="B79" t="s">
        <v>2171</v>
      </c>
      <c r="C79" t="s">
        <v>274</v>
      </c>
      <c r="D79" s="145"/>
      <c r="E79" s="139" t="s">
        <v>2172</v>
      </c>
      <c r="F79" s="93"/>
      <c r="G79" t="s">
        <v>2151</v>
      </c>
    </row>
    <row r="80" spans="2:7" x14ac:dyDescent="0.2">
      <c r="B80" t="s">
        <v>2173</v>
      </c>
      <c r="C80" t="s">
        <v>274</v>
      </c>
      <c r="D80" s="145"/>
      <c r="E80" s="139"/>
      <c r="F80" s="93"/>
      <c r="G80" t="s">
        <v>2151</v>
      </c>
    </row>
    <row r="81" spans="2:7" x14ac:dyDescent="0.2">
      <c r="B81" t="s">
        <v>2174</v>
      </c>
      <c r="C81" t="s">
        <v>274</v>
      </c>
      <c r="D81" s="145"/>
      <c r="E81" s="139" t="s">
        <v>2175</v>
      </c>
      <c r="F81" s="93"/>
      <c r="G81" t="s">
        <v>2151</v>
      </c>
    </row>
    <row r="82" spans="2:7" x14ac:dyDescent="0.2">
      <c r="B82" t="s">
        <v>2176</v>
      </c>
      <c r="C82" t="s">
        <v>274</v>
      </c>
      <c r="D82" s="145"/>
      <c r="E82" s="139"/>
      <c r="F82" s="93"/>
      <c r="G82" t="s">
        <v>2151</v>
      </c>
    </row>
    <row r="83" spans="2:7" x14ac:dyDescent="0.2">
      <c r="B83" t="s">
        <v>2177</v>
      </c>
      <c r="C83" t="s">
        <v>274</v>
      </c>
      <c r="D83" s="145"/>
      <c r="E83" s="139" t="s">
        <v>2178</v>
      </c>
      <c r="F83" s="93"/>
      <c r="G83" t="s">
        <v>2151</v>
      </c>
    </row>
    <row r="84" spans="2:7" x14ac:dyDescent="0.2">
      <c r="B84" t="s">
        <v>2179</v>
      </c>
      <c r="C84" t="s">
        <v>274</v>
      </c>
      <c r="D84" s="145"/>
      <c r="E84" s="139"/>
      <c r="F84" s="93"/>
      <c r="G84" t="s">
        <v>2151</v>
      </c>
    </row>
    <row r="85" spans="2:7" x14ac:dyDescent="0.2">
      <c r="B85" t="s">
        <v>2180</v>
      </c>
      <c r="C85" t="s">
        <v>274</v>
      </c>
      <c r="D85" s="145"/>
      <c r="E85" s="139" t="s">
        <v>2181</v>
      </c>
      <c r="F85" s="93"/>
      <c r="G85" t="s">
        <v>2151</v>
      </c>
    </row>
    <row r="86" spans="2:7" x14ac:dyDescent="0.2">
      <c r="B86" t="s">
        <v>2182</v>
      </c>
      <c r="C86" t="s">
        <v>274</v>
      </c>
      <c r="D86" s="145"/>
      <c r="E86" s="139"/>
      <c r="F86" s="93"/>
      <c r="G86" t="s">
        <v>2151</v>
      </c>
    </row>
    <row r="87" spans="2:7" x14ac:dyDescent="0.2">
      <c r="B87" t="s">
        <v>2183</v>
      </c>
      <c r="C87" t="s">
        <v>274</v>
      </c>
      <c r="D87" s="145"/>
      <c r="E87" s="139" t="s">
        <v>2184</v>
      </c>
      <c r="F87" s="93"/>
      <c r="G87" t="s">
        <v>2151</v>
      </c>
    </row>
    <row r="88" spans="2:7" x14ac:dyDescent="0.2">
      <c r="B88" t="s">
        <v>2185</v>
      </c>
      <c r="C88" t="s">
        <v>274</v>
      </c>
      <c r="D88" s="145"/>
      <c r="E88" s="139"/>
      <c r="F88" s="93"/>
      <c r="G88" t="s">
        <v>2151</v>
      </c>
    </row>
    <row r="89" spans="2:7" x14ac:dyDescent="0.2">
      <c r="B89" t="s">
        <v>2186</v>
      </c>
      <c r="C89" t="s">
        <v>274</v>
      </c>
      <c r="D89" s="145"/>
      <c r="E89" s="139" t="s">
        <v>2187</v>
      </c>
      <c r="F89" s="93"/>
      <c r="G89" t="s">
        <v>2151</v>
      </c>
    </row>
    <row r="90" spans="2:7" x14ac:dyDescent="0.2">
      <c r="B90" t="s">
        <v>2188</v>
      </c>
      <c r="C90" t="s">
        <v>274</v>
      </c>
      <c r="D90" s="145"/>
      <c r="E90" s="139"/>
      <c r="F90" s="93"/>
      <c r="G90" t="s">
        <v>2151</v>
      </c>
    </row>
    <row r="91" spans="2:7" x14ac:dyDescent="0.2">
      <c r="B91" t="s">
        <v>2189</v>
      </c>
      <c r="C91" t="s">
        <v>274</v>
      </c>
      <c r="D91" s="145"/>
      <c r="E91" s="139" t="s">
        <v>2190</v>
      </c>
      <c r="F91" s="93"/>
      <c r="G91" t="s">
        <v>2151</v>
      </c>
    </row>
    <row r="92" spans="2:7" x14ac:dyDescent="0.2">
      <c r="B92" t="s">
        <v>2191</v>
      </c>
      <c r="C92" t="s">
        <v>274</v>
      </c>
      <c r="D92" s="145"/>
      <c r="E92" s="139"/>
      <c r="F92" s="93"/>
      <c r="G92" t="s">
        <v>2151</v>
      </c>
    </row>
    <row r="93" spans="2:7" x14ac:dyDescent="0.2">
      <c r="B93" t="s">
        <v>2192</v>
      </c>
      <c r="C93" t="s">
        <v>274</v>
      </c>
      <c r="D93" s="145"/>
      <c r="E93" s="139" t="s">
        <v>2193</v>
      </c>
      <c r="F93" s="93"/>
      <c r="G93" t="s">
        <v>2151</v>
      </c>
    </row>
    <row r="94" spans="2:7" x14ac:dyDescent="0.2">
      <c r="B94" t="s">
        <v>2194</v>
      </c>
      <c r="C94" t="s">
        <v>274</v>
      </c>
      <c r="D94" s="145"/>
      <c r="E94" s="139"/>
      <c r="F94" s="93"/>
      <c r="G94" t="s">
        <v>2151</v>
      </c>
    </row>
    <row r="95" spans="2:7" x14ac:dyDescent="0.2">
      <c r="B95" t="s">
        <v>2195</v>
      </c>
      <c r="C95" t="s">
        <v>274</v>
      </c>
      <c r="D95" s="145"/>
      <c r="E95" s="139"/>
      <c r="F95" s="93"/>
      <c r="G95" t="s">
        <v>2151</v>
      </c>
    </row>
    <row r="96" spans="2:7" x14ac:dyDescent="0.2">
      <c r="B96" t="s">
        <v>2196</v>
      </c>
      <c r="C96" t="s">
        <v>274</v>
      </c>
      <c r="D96" s="145"/>
      <c r="E96" s="139"/>
      <c r="F96" s="93"/>
      <c r="G96" t="s">
        <v>2151</v>
      </c>
    </row>
    <row r="97" spans="2:7" x14ac:dyDescent="0.2">
      <c r="B97" t="s">
        <v>2197</v>
      </c>
      <c r="C97" t="s">
        <v>274</v>
      </c>
      <c r="D97" s="145"/>
      <c r="E97" s="139"/>
      <c r="F97" s="93"/>
      <c r="G97" t="s">
        <v>2151</v>
      </c>
    </row>
    <row r="98" spans="2:7" x14ac:dyDescent="0.2">
      <c r="B98" t="s">
        <v>2198</v>
      </c>
      <c r="C98" t="s">
        <v>274</v>
      </c>
      <c r="D98" s="145"/>
      <c r="E98" s="139" t="s">
        <v>2199</v>
      </c>
      <c r="F98" s="93"/>
      <c r="G98" t="s">
        <v>2151</v>
      </c>
    </row>
    <row r="99" spans="2:7" x14ac:dyDescent="0.2">
      <c r="B99" t="s">
        <v>2200</v>
      </c>
      <c r="C99" t="s">
        <v>274</v>
      </c>
      <c r="D99" s="145"/>
      <c r="E99" s="139"/>
      <c r="F99" s="93"/>
      <c r="G99" t="s">
        <v>2151</v>
      </c>
    </row>
    <row r="100" spans="2:7" x14ac:dyDescent="0.2">
      <c r="B100" t="s">
        <v>2201</v>
      </c>
      <c r="C100" t="s">
        <v>274</v>
      </c>
      <c r="D100" s="145"/>
      <c r="E100" s="139"/>
      <c r="F100" s="93"/>
      <c r="G100" t="s">
        <v>2151</v>
      </c>
    </row>
    <row r="101" spans="2:7" x14ac:dyDescent="0.2">
      <c r="B101" t="s">
        <v>2202</v>
      </c>
      <c r="C101" t="s">
        <v>274</v>
      </c>
      <c r="D101" s="145"/>
      <c r="E101" s="139"/>
      <c r="F101" s="93"/>
      <c r="G101" t="s">
        <v>2151</v>
      </c>
    </row>
    <row r="102" spans="2:7" x14ac:dyDescent="0.2">
      <c r="B102" t="s">
        <v>2203</v>
      </c>
      <c r="C102" t="s">
        <v>274</v>
      </c>
      <c r="D102" s="145"/>
      <c r="E102" s="139"/>
      <c r="F102" s="93"/>
      <c r="G102" t="s">
        <v>2151</v>
      </c>
    </row>
    <row r="103" spans="2:7" x14ac:dyDescent="0.2">
      <c r="B103" t="s">
        <v>2204</v>
      </c>
      <c r="C103" t="s">
        <v>274</v>
      </c>
      <c r="D103" s="145"/>
      <c r="E103" t="s">
        <v>2205</v>
      </c>
      <c r="F103" s="93"/>
      <c r="G103" t="s">
        <v>2151</v>
      </c>
    </row>
  </sheetData>
  <mergeCells count="18">
    <mergeCell ref="E85:E86"/>
    <mergeCell ref="E87:E88"/>
    <mergeCell ref="E89:E90"/>
    <mergeCell ref="E91:E92"/>
    <mergeCell ref="A1:G1"/>
    <mergeCell ref="D9:D29"/>
    <mergeCell ref="A33:G33"/>
    <mergeCell ref="D42:D62"/>
    <mergeCell ref="D65:D103"/>
    <mergeCell ref="E68:E70"/>
    <mergeCell ref="E73:E74"/>
    <mergeCell ref="E75:E76"/>
    <mergeCell ref="E77:E78"/>
    <mergeCell ref="E79:E80"/>
    <mergeCell ref="E93:E97"/>
    <mergeCell ref="E98:E102"/>
    <mergeCell ref="E81:E82"/>
    <mergeCell ref="E83:E8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Service Telemetry</vt:lpstr>
      <vt:lpstr>Mulpi</vt:lpstr>
      <vt:lpstr>DP</vt:lpstr>
      <vt:lpstr>Sched</vt:lpstr>
      <vt:lpstr>Cloud-Native</vt:lpstr>
      <vt:lpstr>RPD Sensors</vt:lpstr>
      <vt:lpstr>ha-agent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Patrick</dc:creator>
  <cp:keywords/>
  <dc:description/>
  <cp:lastModifiedBy>Dolley, Mulbah</cp:lastModifiedBy>
  <cp:revision>2</cp:revision>
  <dcterms:created xsi:type="dcterms:W3CDTF">2017-02-10T14:01:49Z</dcterms:created>
  <dcterms:modified xsi:type="dcterms:W3CDTF">2021-08-20T19:30:47Z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